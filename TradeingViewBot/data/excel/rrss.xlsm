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120" yWindow="-120" windowWidth="19420" windowHeight="11020" tabRatio="727"/>
  </bookViews>
  <sheets>
    <sheet name="main" sheetId="34" r:id="rId1"/>
    <sheet name="RSIday" sheetId="36" r:id="rId2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" i="34" l="1"/>
  <c r="U5" i="34"/>
  <c r="AT48" i="34"/>
  <c r="AT49" i="34"/>
  <c r="AT50" i="34"/>
  <c r="AT51" i="34"/>
  <c r="AT52" i="34"/>
  <c r="AT53" i="34"/>
  <c r="AT54" i="34"/>
  <c r="AT55" i="34"/>
  <c r="AT56" i="34"/>
  <c r="AT47" i="34"/>
  <c r="AT34" i="34"/>
  <c r="AT35" i="34"/>
  <c r="AT36" i="34"/>
  <c r="AT37" i="34"/>
  <c r="AT38" i="34"/>
  <c r="AT39" i="34"/>
  <c r="AT40" i="34"/>
  <c r="AT41" i="34"/>
  <c r="AT42" i="34"/>
  <c r="AT33" i="34"/>
  <c r="AK48" i="34"/>
  <c r="AK49" i="34"/>
  <c r="AK50" i="34"/>
  <c r="AK51" i="34"/>
  <c r="AK52" i="34"/>
  <c r="AK53" i="34"/>
  <c r="AK54" i="34"/>
  <c r="AK55" i="34"/>
  <c r="AK56" i="34"/>
  <c r="AK47" i="34"/>
  <c r="AK34" i="34"/>
  <c r="AK35" i="34"/>
  <c r="AK36" i="34"/>
  <c r="AK37" i="34"/>
  <c r="AK38" i="34"/>
  <c r="AK39" i="34"/>
  <c r="AK40" i="34"/>
  <c r="AK41" i="34"/>
  <c r="AK42" i="34"/>
  <c r="AK33" i="34"/>
  <c r="AL33" i="34" l="1"/>
  <c r="AY11" i="36" a="1"/>
  <c r="AY13" i="36" a="1"/>
  <c r="AY14" i="36" a="1"/>
  <c r="AY12" i="36" a="1"/>
  <c r="L1" i="34" a="1"/>
  <c r="K17" i="34" a="1"/>
  <c r="M1" i="34" a="1"/>
  <c r="BJ4" i="34" a="1"/>
  <c r="BB4" i="34" a="1"/>
  <c r="AY13" i="36"/>
  <c r="L1" i="34"/>
  <c r="BB4" i="34"/>
  <c r="M1" i="34"/>
  <c r="S17" i="34"/>
  <c r="AY11" i="36"/>
  <c r="AY12" i="36"/>
  <c r="AY14" i="36"/>
  <c r="BJ4" i="34"/>
  <c r="K17" i="34"/>
  <c r="AH104" i="36" l="1"/>
  <c r="AI104" i="36"/>
  <c r="AH105" i="36"/>
  <c r="AI105" i="36"/>
  <c r="AH106" i="36"/>
  <c r="AI106" i="36"/>
  <c r="AH107" i="36"/>
  <c r="AI107" i="36"/>
  <c r="AH108" i="36"/>
  <c r="AI108" i="36"/>
  <c r="AH109" i="36"/>
  <c r="AI109" i="36"/>
  <c r="AH110" i="36"/>
  <c r="AI110" i="36"/>
  <c r="AH111" i="36"/>
  <c r="AI111" i="36"/>
  <c r="AH112" i="36"/>
  <c r="AI112" i="36"/>
  <c r="AH113" i="36"/>
  <c r="AI113" i="36"/>
  <c r="AH114" i="36"/>
  <c r="AI114" i="36"/>
  <c r="AH115" i="36"/>
  <c r="AI115" i="36"/>
  <c r="AH116" i="36"/>
  <c r="AI116" i="36"/>
  <c r="AH117" i="36"/>
  <c r="AI117" i="36"/>
  <c r="AH118" i="36"/>
  <c r="AI118" i="36"/>
  <c r="AH119" i="36"/>
  <c r="AI119" i="36"/>
  <c r="AH120" i="36"/>
  <c r="AI120" i="36"/>
  <c r="AH121" i="36"/>
  <c r="AI121" i="36"/>
  <c r="AH122" i="36"/>
  <c r="AI122" i="36"/>
  <c r="AH123" i="36"/>
  <c r="AI123" i="36"/>
  <c r="AH124" i="36"/>
  <c r="AI124" i="36"/>
  <c r="AH125" i="36"/>
  <c r="AI125" i="36"/>
  <c r="AH126" i="36"/>
  <c r="AI126" i="36"/>
  <c r="AH127" i="36"/>
  <c r="AI127" i="36"/>
  <c r="AH128" i="36"/>
  <c r="AI128" i="36"/>
  <c r="AH129" i="36"/>
  <c r="AI129" i="36"/>
  <c r="AH130" i="36"/>
  <c r="AI130" i="36"/>
  <c r="AH131" i="36"/>
  <c r="AI131" i="36"/>
  <c r="AH132" i="36"/>
  <c r="AI132" i="36"/>
  <c r="AH133" i="36"/>
  <c r="AI133" i="36"/>
  <c r="AH134" i="36"/>
  <c r="AI134" i="36"/>
  <c r="AH135" i="36"/>
  <c r="AI135" i="36"/>
  <c r="AH136" i="36"/>
  <c r="AI136" i="36"/>
  <c r="AH137" i="36"/>
  <c r="AI137" i="36"/>
  <c r="AH138" i="36"/>
  <c r="AI138" i="36"/>
  <c r="AH139" i="36"/>
  <c r="AI139" i="36"/>
  <c r="AH140" i="36"/>
  <c r="AI140" i="36"/>
  <c r="AH141" i="36"/>
  <c r="AI141" i="36"/>
  <c r="AH142" i="36"/>
  <c r="AI142" i="36"/>
  <c r="AH143" i="36"/>
  <c r="AI143" i="36"/>
  <c r="AH144" i="36"/>
  <c r="AI144" i="36"/>
  <c r="AH145" i="36"/>
  <c r="AI145" i="36"/>
  <c r="AH146" i="36"/>
  <c r="AI146" i="36"/>
  <c r="AH147" i="36"/>
  <c r="AI147" i="36"/>
  <c r="AH148" i="36"/>
  <c r="AI148" i="36"/>
  <c r="AH149" i="36"/>
  <c r="AI149" i="36"/>
  <c r="AH150" i="36"/>
  <c r="AI150" i="36"/>
  <c r="AH151" i="36"/>
  <c r="AI151" i="36"/>
  <c r="AH152" i="36"/>
  <c r="AI152" i="36"/>
  <c r="AH153" i="36"/>
  <c r="AI153" i="36"/>
  <c r="AH154" i="36"/>
  <c r="AI154" i="36"/>
  <c r="AH155" i="36"/>
  <c r="AI155" i="36"/>
  <c r="AH156" i="36"/>
  <c r="AI156" i="36"/>
  <c r="AH157" i="36"/>
  <c r="AI157" i="36"/>
  <c r="AH158" i="36"/>
  <c r="AI158" i="36"/>
  <c r="AH159" i="36"/>
  <c r="AI159" i="36"/>
  <c r="AH160" i="36"/>
  <c r="AI160" i="36"/>
  <c r="AH161" i="36"/>
  <c r="AI161" i="36"/>
  <c r="AH162" i="36"/>
  <c r="AI162" i="36"/>
  <c r="AH163" i="36"/>
  <c r="AI163" i="36"/>
  <c r="AH164" i="36"/>
  <c r="AI164" i="36"/>
  <c r="AH165" i="36"/>
  <c r="AI165" i="36"/>
  <c r="AH166" i="36"/>
  <c r="AI166" i="36"/>
  <c r="AH167" i="36"/>
  <c r="AI167" i="36"/>
  <c r="AH168" i="36"/>
  <c r="AI168" i="36"/>
  <c r="AH169" i="36"/>
  <c r="AI169" i="36"/>
  <c r="AH170" i="36"/>
  <c r="AI170" i="36"/>
  <c r="AH171" i="36"/>
  <c r="AI171" i="36"/>
  <c r="AH172" i="36"/>
  <c r="AI172" i="36"/>
  <c r="AH173" i="36"/>
  <c r="AI173" i="36"/>
  <c r="AH174" i="36"/>
  <c r="AI174" i="36"/>
  <c r="AH175" i="36"/>
  <c r="AI175" i="36"/>
  <c r="AH176" i="36"/>
  <c r="AI176" i="36"/>
  <c r="AH177" i="36"/>
  <c r="AI177" i="36"/>
  <c r="AH178" i="36"/>
  <c r="AI178" i="36"/>
  <c r="AH179" i="36"/>
  <c r="AI179" i="36"/>
  <c r="AH180" i="36"/>
  <c r="AI180" i="36"/>
  <c r="AH181" i="36"/>
  <c r="AI181" i="36"/>
  <c r="AH182" i="36"/>
  <c r="AI182" i="36"/>
  <c r="AH183" i="36"/>
  <c r="AI183" i="36"/>
  <c r="AH184" i="36"/>
  <c r="AI184" i="36"/>
  <c r="AH185" i="36"/>
  <c r="AI185" i="36"/>
  <c r="AH186" i="36"/>
  <c r="AI186" i="36"/>
  <c r="AH187" i="36"/>
  <c r="AI187" i="36"/>
  <c r="AH188" i="36"/>
  <c r="AI188" i="36"/>
  <c r="AH189" i="36"/>
  <c r="AI189" i="36"/>
  <c r="AH190" i="36"/>
  <c r="AI190" i="36"/>
  <c r="AH191" i="36"/>
  <c r="AI191" i="36"/>
  <c r="AH192" i="36"/>
  <c r="AI192" i="36"/>
  <c r="AH193" i="36"/>
  <c r="AI193" i="36"/>
  <c r="AH194" i="36"/>
  <c r="AI194" i="36"/>
  <c r="AH195" i="36"/>
  <c r="AI195" i="36"/>
  <c r="AH196" i="36"/>
  <c r="AI196" i="36"/>
  <c r="AH197" i="36"/>
  <c r="AI197" i="36"/>
  <c r="AH198" i="36"/>
  <c r="AI198" i="36"/>
  <c r="AH199" i="36"/>
  <c r="AI199" i="36"/>
  <c r="AH200" i="36"/>
  <c r="AI200" i="36"/>
  <c r="AH201" i="36"/>
  <c r="AI201" i="36"/>
  <c r="AH202" i="36"/>
  <c r="AI202" i="36"/>
  <c r="AH203" i="36"/>
  <c r="AI203" i="36"/>
  <c r="AH204" i="36"/>
  <c r="AI204" i="36"/>
  <c r="AH205" i="36"/>
  <c r="AI205" i="36"/>
  <c r="AH206" i="36"/>
  <c r="AI206" i="36"/>
  <c r="AH207" i="36"/>
  <c r="AI207" i="36"/>
  <c r="AH208" i="36"/>
  <c r="AI208" i="36"/>
  <c r="AH209" i="36"/>
  <c r="AI209" i="36"/>
  <c r="AH210" i="36"/>
  <c r="AI210" i="36"/>
  <c r="AH211" i="36"/>
  <c r="AI211" i="36"/>
  <c r="AH212" i="36"/>
  <c r="AI212" i="36"/>
  <c r="AH213" i="36"/>
  <c r="AI213" i="36"/>
  <c r="AH214" i="36"/>
  <c r="AI214" i="36"/>
  <c r="AH215" i="36"/>
  <c r="AI215" i="36"/>
  <c r="AH216" i="36"/>
  <c r="AI216" i="36"/>
  <c r="AH217" i="36"/>
  <c r="AI217" i="36"/>
  <c r="AH218" i="36"/>
  <c r="AI218" i="36"/>
  <c r="AH219" i="36"/>
  <c r="AI219" i="36"/>
  <c r="AH220" i="36"/>
  <c r="AI220" i="36"/>
  <c r="AH221" i="36"/>
  <c r="AI221" i="36"/>
  <c r="AH222" i="36"/>
  <c r="AI222" i="36"/>
  <c r="AH223" i="36"/>
  <c r="AI223" i="36"/>
  <c r="AH224" i="36"/>
  <c r="AI224" i="36"/>
  <c r="AH225" i="36"/>
  <c r="AI225" i="36"/>
  <c r="AH226" i="36"/>
  <c r="AI226" i="36"/>
  <c r="AH227" i="36"/>
  <c r="AI227" i="36"/>
  <c r="AH228" i="36"/>
  <c r="AI228" i="36"/>
  <c r="AH229" i="36"/>
  <c r="AI229" i="36"/>
  <c r="AH230" i="36"/>
  <c r="AI230" i="36"/>
  <c r="AH231" i="36"/>
  <c r="AI231" i="36"/>
  <c r="AH232" i="36"/>
  <c r="AI232" i="36"/>
  <c r="AH233" i="36"/>
  <c r="AI233" i="36"/>
  <c r="AH234" i="36"/>
  <c r="AI234" i="36"/>
  <c r="AH235" i="36"/>
  <c r="AI235" i="36"/>
  <c r="AH236" i="36"/>
  <c r="AI236" i="36"/>
  <c r="AH237" i="36"/>
  <c r="AI237" i="36"/>
  <c r="AH238" i="36"/>
  <c r="AI238" i="36"/>
  <c r="AH239" i="36"/>
  <c r="AI239" i="36"/>
  <c r="AI7" i="36"/>
  <c r="AH7" i="36"/>
  <c r="P3" i="34"/>
  <c r="AU56" i="34" l="1"/>
  <c r="AU54" i="34"/>
  <c r="AU52" i="34"/>
  <c r="AU55" i="34"/>
  <c r="AU53" i="34"/>
  <c r="AL56" i="34"/>
  <c r="AL54" i="34"/>
  <c r="AL52" i="34"/>
  <c r="AL55" i="34"/>
  <c r="AL53" i="34"/>
  <c r="AU42" i="34"/>
  <c r="AU40" i="34"/>
  <c r="AU38" i="34"/>
  <c r="AU41" i="34"/>
  <c r="AU39" i="34"/>
  <c r="AL42" i="34"/>
  <c r="AL40" i="34"/>
  <c r="AL38" i="34"/>
  <c r="AL37" i="34"/>
  <c r="AL41" i="34"/>
  <c r="AL39" i="34"/>
  <c r="N9" i="34" l="1"/>
  <c r="AW6" i="36"/>
  <c r="AW17" i="36"/>
  <c r="AW16" i="36"/>
  <c r="AW15" i="36"/>
  <c r="AW14" i="36"/>
  <c r="AW13" i="36"/>
  <c r="AW12" i="36"/>
  <c r="AW11" i="36"/>
  <c r="AW10" i="36"/>
  <c r="AW9" i="36"/>
  <c r="AW8" i="36"/>
  <c r="AW7" i="36"/>
  <c r="AW5" i="36"/>
  <c r="AW4" i="36"/>
  <c r="AY7" i="36" a="1"/>
  <c r="AY4" i="36" a="1"/>
  <c r="AY5" i="36" a="1"/>
  <c r="AY9" i="36" a="1"/>
  <c r="AY3" i="36" a="1"/>
  <c r="AY8" i="36" a="1"/>
  <c r="AY10" i="36" a="1"/>
  <c r="AY6" i="36" a="1"/>
  <c r="AB27" i="34" l="1"/>
  <c r="AY9" i="36"/>
  <c r="AY7" i="36"/>
  <c r="AY4" i="36"/>
  <c r="AY10" i="36"/>
  <c r="AY8" i="36"/>
  <c r="AY5" i="36"/>
  <c r="AY3" i="36"/>
  <c r="AY6" i="36"/>
  <c r="AB28" i="34" a="1"/>
  <c r="AB28" i="34" l="1"/>
  <c r="M9" i="34"/>
  <c r="M10" i="34" s="1"/>
  <c r="AE42" i="34" l="1"/>
  <c r="AE41" i="34"/>
  <c r="AE40" i="34"/>
  <c r="AE39" i="34"/>
  <c r="AE38" i="34"/>
  <c r="AE37" i="34"/>
  <c r="AE36" i="34"/>
  <c r="AE35" i="34"/>
  <c r="AE34" i="34"/>
  <c r="AO7" i="36"/>
  <c r="AL7" i="36"/>
  <c r="AU51" i="34" l="1"/>
  <c r="AU49" i="34"/>
  <c r="AU47" i="34"/>
  <c r="AU50" i="34"/>
  <c r="AU48" i="34"/>
  <c r="AL51" i="34"/>
  <c r="AL50" i="34"/>
  <c r="AL49" i="34"/>
  <c r="AL47" i="34"/>
  <c r="AL48" i="34"/>
  <c r="AL34" i="34"/>
  <c r="AU36" i="34"/>
  <c r="AU37" i="34"/>
  <c r="AU35" i="34"/>
  <c r="AU33" i="34"/>
  <c r="AU34" i="34"/>
  <c r="AL35" i="34"/>
  <c r="AL36" i="34"/>
  <c r="AI8" i="36" l="1"/>
  <c r="AH8" i="36"/>
  <c r="AO8" i="36" l="1"/>
  <c r="AL8" i="36"/>
  <c r="AI9" i="36" l="1"/>
  <c r="AH9" i="36"/>
  <c r="AL9" i="36"/>
  <c r="AH10" i="36" l="1"/>
  <c r="AO9" i="36"/>
  <c r="AL10" i="36" l="1"/>
  <c r="AI10" i="36"/>
  <c r="AI11" i="36"/>
  <c r="AO10" i="36"/>
  <c r="AH11" i="36" l="1"/>
  <c r="AL11" i="36"/>
  <c r="AO11" i="36" l="1"/>
  <c r="AH12" i="36"/>
  <c r="AI12" i="36" l="1"/>
  <c r="AL12" i="36"/>
  <c r="AO12" i="36" l="1"/>
  <c r="AI13" i="36"/>
  <c r="AH13" i="36"/>
  <c r="AL13" i="36" l="1"/>
  <c r="AO13" i="36" l="1"/>
  <c r="AI14" i="36"/>
  <c r="AH14" i="36"/>
  <c r="AL14" i="36" l="1"/>
  <c r="AO14" i="36" l="1"/>
  <c r="AI15" i="36"/>
  <c r="AH15" i="36"/>
  <c r="AL15" i="36" l="1"/>
  <c r="AO15" i="36" l="1"/>
  <c r="AH16" i="36"/>
  <c r="AI16" i="36"/>
  <c r="AL16" i="36" l="1"/>
  <c r="AO16" i="36" l="1"/>
  <c r="AH17" i="36"/>
  <c r="AI17" i="36"/>
  <c r="AL17" i="36" l="1"/>
  <c r="AO17" i="36" l="1"/>
  <c r="AH18" i="36"/>
  <c r="AI18" i="36"/>
  <c r="AL18" i="36" l="1"/>
  <c r="AO18" i="36" l="1"/>
  <c r="AH19" i="36"/>
  <c r="AI19" i="36"/>
  <c r="AL19" i="36" l="1"/>
  <c r="AO19" i="36" l="1"/>
  <c r="AH20" i="36"/>
  <c r="AI20" i="36"/>
  <c r="AL20" i="36" l="1"/>
  <c r="AO20" i="36" l="1"/>
  <c r="AH21" i="36"/>
  <c r="AI21" i="36"/>
  <c r="AL21" i="36" l="1"/>
  <c r="AO21" i="36" l="1"/>
  <c r="AH22" i="36"/>
  <c r="AI22" i="36"/>
  <c r="AL22" i="36" l="1"/>
  <c r="AO22" i="36" l="1"/>
  <c r="AH23" i="36"/>
  <c r="AI23" i="36"/>
  <c r="AL23" i="36" l="1"/>
  <c r="AO23" i="36" l="1"/>
  <c r="AH24" i="36"/>
  <c r="AI24" i="36"/>
  <c r="AL24" i="36" l="1"/>
  <c r="AO24" i="36" l="1"/>
  <c r="AH25" i="36"/>
  <c r="AI25" i="36"/>
  <c r="AL25" i="36" l="1"/>
  <c r="AO25" i="36" l="1"/>
  <c r="AH26" i="36"/>
  <c r="AI26" i="36"/>
  <c r="AL26" i="36" l="1"/>
  <c r="AO26" i="36" l="1"/>
  <c r="AH27" i="36"/>
  <c r="AI27" i="36"/>
  <c r="AL27" i="36" l="1"/>
  <c r="AO27" i="36" l="1"/>
  <c r="AI28" i="36"/>
  <c r="AH28" i="36"/>
  <c r="AL28" i="36" l="1"/>
  <c r="AO28" i="36" l="1"/>
  <c r="AI29" i="36"/>
  <c r="AH29" i="36"/>
  <c r="AL29" i="36" l="1"/>
  <c r="AO29" i="36" l="1"/>
  <c r="AH30" i="36"/>
  <c r="AI30" i="36"/>
  <c r="AL30" i="36" l="1"/>
  <c r="AO30" i="36" l="1"/>
  <c r="AI31" i="36"/>
  <c r="AH31" i="36"/>
  <c r="AL31" i="36" l="1"/>
  <c r="AO31" i="36" l="1"/>
  <c r="AH32" i="36"/>
  <c r="AI32" i="36"/>
  <c r="AL32" i="36" l="1"/>
  <c r="AO32" i="36" l="1"/>
  <c r="AH33" i="36"/>
  <c r="AI33" i="36"/>
  <c r="AL33" i="36" l="1"/>
  <c r="AO33" i="36" l="1"/>
  <c r="AI34" i="36"/>
  <c r="AH34" i="36"/>
  <c r="AL34" i="36" l="1"/>
  <c r="AO34" i="36" l="1"/>
  <c r="AH35" i="36"/>
  <c r="AI35" i="36"/>
  <c r="AL35" i="36" l="1"/>
  <c r="AO35" i="36" l="1"/>
  <c r="AH36" i="36"/>
  <c r="AI36" i="36"/>
  <c r="AL36" i="36" l="1"/>
  <c r="AO36" i="36" l="1"/>
  <c r="AI37" i="36"/>
  <c r="AH37" i="36"/>
  <c r="AL37" i="36" l="1"/>
  <c r="AO37" i="36" l="1"/>
  <c r="AI38" i="36"/>
  <c r="AH38" i="36"/>
  <c r="AL38" i="36" l="1"/>
  <c r="AO38" i="36" l="1"/>
  <c r="AI39" i="36"/>
  <c r="AH39" i="36"/>
  <c r="AL39" i="36" l="1"/>
  <c r="AO39" i="36" l="1"/>
  <c r="AH40" i="36"/>
  <c r="AI40" i="36"/>
  <c r="AL40" i="36" l="1"/>
  <c r="AO40" i="36" l="1"/>
  <c r="AI41" i="36"/>
  <c r="AH41" i="36"/>
  <c r="AL41" i="36" l="1"/>
  <c r="AO41" i="36" l="1"/>
  <c r="AI42" i="36"/>
  <c r="AH42" i="36"/>
  <c r="AL42" i="36" l="1"/>
  <c r="AO42" i="36" l="1"/>
  <c r="AI43" i="36"/>
  <c r="AH43" i="36"/>
  <c r="AL43" i="36" l="1"/>
  <c r="AO43" i="36" l="1"/>
  <c r="AI44" i="36"/>
  <c r="AH44" i="36"/>
  <c r="AL44" i="36" l="1"/>
  <c r="AO44" i="36" l="1"/>
  <c r="AI45" i="36"/>
  <c r="AH45" i="36"/>
  <c r="AL45" i="36" l="1"/>
  <c r="AO45" i="36" l="1"/>
  <c r="AI46" i="36"/>
  <c r="AH46" i="36"/>
  <c r="AL46" i="36" l="1"/>
  <c r="AO46" i="36" l="1"/>
  <c r="AH47" i="36"/>
  <c r="AI47" i="36"/>
  <c r="AL47" i="36" l="1"/>
  <c r="AO47" i="36" l="1"/>
  <c r="AH48" i="36"/>
  <c r="AI48" i="36"/>
  <c r="AL48" i="36" l="1"/>
  <c r="AO48" i="36" l="1"/>
  <c r="AI49" i="36"/>
  <c r="AH49" i="36"/>
  <c r="AL49" i="36" l="1"/>
  <c r="AO49" i="36" l="1"/>
  <c r="AH50" i="36"/>
  <c r="AI50" i="36"/>
  <c r="AL50" i="36" l="1"/>
  <c r="AO50" i="36" l="1"/>
  <c r="AI51" i="36"/>
  <c r="AH51" i="36"/>
  <c r="AL51" i="36" l="1"/>
  <c r="AO51" i="36" l="1"/>
  <c r="AI52" i="36"/>
  <c r="AH52" i="36"/>
  <c r="AL52" i="36" l="1"/>
  <c r="AO52" i="36" l="1"/>
  <c r="AH53" i="36"/>
  <c r="AI53" i="36"/>
  <c r="AL53" i="36" l="1"/>
  <c r="AO53" i="36" l="1"/>
  <c r="AH54" i="36"/>
  <c r="AI54" i="36"/>
  <c r="AL54" i="36" l="1"/>
  <c r="AO54" i="36" l="1"/>
  <c r="AI55" i="36"/>
  <c r="AH55" i="36"/>
  <c r="AL55" i="36" l="1"/>
  <c r="AO55" i="36" l="1"/>
  <c r="AH56" i="36"/>
  <c r="AI56" i="36"/>
  <c r="AL56" i="36" l="1"/>
  <c r="AO56" i="36" l="1"/>
  <c r="AI57" i="36"/>
  <c r="AH57" i="36"/>
  <c r="AL57" i="36" l="1"/>
  <c r="AO57" i="36" l="1"/>
  <c r="AI58" i="36"/>
  <c r="AH58" i="36"/>
  <c r="AL58" i="36" l="1"/>
  <c r="AO58" i="36" l="1"/>
  <c r="AI59" i="36"/>
  <c r="AH59" i="36"/>
  <c r="AL59" i="36" l="1"/>
  <c r="AO59" i="36" l="1"/>
  <c r="AH60" i="36"/>
  <c r="AI60" i="36"/>
  <c r="AL60" i="36" l="1"/>
  <c r="AO60" i="36" l="1"/>
  <c r="AH61" i="36"/>
  <c r="AI61" i="36"/>
  <c r="AL61" i="36" l="1"/>
  <c r="AO61" i="36" l="1"/>
  <c r="AH62" i="36"/>
  <c r="AI62" i="36"/>
  <c r="AL62" i="36" l="1"/>
  <c r="AO62" i="36" l="1"/>
  <c r="AH63" i="36"/>
  <c r="AI63" i="36"/>
  <c r="AL63" i="36" l="1"/>
  <c r="AO63" i="36" l="1"/>
  <c r="AI64" i="36"/>
  <c r="AH64" i="36"/>
  <c r="AL64" i="36" l="1"/>
  <c r="AO64" i="36" l="1"/>
  <c r="AH65" i="36"/>
  <c r="AI65" i="36"/>
  <c r="AL65" i="36" l="1"/>
  <c r="AO65" i="36" l="1"/>
  <c r="AH66" i="36"/>
  <c r="AI66" i="36"/>
  <c r="AL66" i="36" l="1"/>
  <c r="AO66" i="36" l="1"/>
  <c r="AH67" i="36"/>
  <c r="AI67" i="36"/>
  <c r="AL67" i="36" l="1"/>
  <c r="AO67" i="36" l="1"/>
  <c r="AH68" i="36"/>
  <c r="AI68" i="36"/>
  <c r="AL68" i="36" l="1"/>
  <c r="AO68" i="36" l="1"/>
  <c r="AH69" i="36"/>
  <c r="AI69" i="36"/>
  <c r="AL69" i="36" l="1"/>
  <c r="AO69" i="36" l="1"/>
  <c r="AI70" i="36"/>
  <c r="AH70" i="36"/>
  <c r="AL70" i="36" l="1"/>
  <c r="AO70" i="36" l="1"/>
  <c r="AI71" i="36"/>
  <c r="AH71" i="36"/>
  <c r="AL71" i="36" l="1"/>
  <c r="AO71" i="36" l="1"/>
  <c r="AH72" i="36"/>
  <c r="AI72" i="36"/>
  <c r="AL72" i="36" l="1"/>
  <c r="AO72" i="36" l="1"/>
  <c r="AI73" i="36"/>
  <c r="AH73" i="36"/>
  <c r="AL73" i="36" l="1"/>
  <c r="AO73" i="36" l="1"/>
  <c r="AI74" i="36"/>
  <c r="AH74" i="36"/>
  <c r="AL74" i="36" l="1"/>
  <c r="AO74" i="36" l="1"/>
  <c r="AH75" i="36"/>
  <c r="AI75" i="36"/>
  <c r="AL75" i="36" l="1"/>
  <c r="AO75" i="36" l="1"/>
  <c r="AH76" i="36"/>
  <c r="AI76" i="36"/>
  <c r="AL76" i="36" l="1"/>
  <c r="AO76" i="36" l="1"/>
  <c r="AI77" i="36"/>
  <c r="AH77" i="36"/>
  <c r="AL77" i="36" l="1"/>
  <c r="AO77" i="36" l="1"/>
  <c r="AI78" i="36"/>
  <c r="AH78" i="36"/>
  <c r="AL78" i="36" l="1"/>
  <c r="AO78" i="36" l="1"/>
  <c r="AI79" i="36"/>
  <c r="AH79" i="36"/>
  <c r="AL79" i="36" l="1"/>
  <c r="AO79" i="36" l="1"/>
  <c r="AI80" i="36"/>
  <c r="AH80" i="36"/>
  <c r="AL80" i="36" l="1"/>
  <c r="AO80" i="36" l="1"/>
  <c r="AH81" i="36"/>
  <c r="AI81" i="36"/>
  <c r="AL81" i="36" l="1"/>
  <c r="AO81" i="36" l="1"/>
  <c r="AI82" i="36"/>
  <c r="AH82" i="36"/>
  <c r="AL82" i="36" l="1"/>
  <c r="AO82" i="36" l="1"/>
  <c r="AH83" i="36"/>
  <c r="AI83" i="36"/>
  <c r="AL83" i="36" l="1"/>
  <c r="AO83" i="36" l="1"/>
  <c r="AH84" i="36"/>
  <c r="AI84" i="36"/>
  <c r="AL84" i="36" l="1"/>
  <c r="AO84" i="36" l="1"/>
  <c r="AI85" i="36"/>
  <c r="AH85" i="36"/>
  <c r="AL85" i="36" l="1"/>
  <c r="AO85" i="36" l="1"/>
  <c r="AI86" i="36"/>
  <c r="AH86" i="36"/>
  <c r="AL86" i="36" l="1"/>
  <c r="AO86" i="36" l="1"/>
  <c r="AI87" i="36"/>
  <c r="AH87" i="36"/>
  <c r="AL87" i="36" l="1"/>
  <c r="AO87" i="36" l="1"/>
  <c r="AI88" i="36"/>
  <c r="AH88" i="36"/>
  <c r="AL88" i="36" l="1"/>
  <c r="AO88" i="36" l="1"/>
  <c r="AH89" i="36"/>
  <c r="AI89" i="36"/>
  <c r="AL89" i="36" l="1"/>
  <c r="AO89" i="36" l="1"/>
  <c r="AH90" i="36"/>
  <c r="AI90" i="36"/>
  <c r="AL90" i="36" l="1"/>
  <c r="AO90" i="36" l="1"/>
  <c r="AH91" i="36"/>
  <c r="AI91" i="36"/>
  <c r="AL91" i="36" l="1"/>
  <c r="AO91" i="36" l="1"/>
  <c r="AH92" i="36"/>
  <c r="AI92" i="36"/>
  <c r="AL92" i="36" l="1"/>
  <c r="AO92" i="36" l="1"/>
  <c r="AI93" i="36"/>
  <c r="AH93" i="36"/>
  <c r="AL93" i="36" l="1"/>
  <c r="AO93" i="36" l="1"/>
  <c r="AH94" i="36"/>
  <c r="AI94" i="36"/>
  <c r="AL94" i="36" l="1"/>
  <c r="AO94" i="36" l="1"/>
  <c r="AI95" i="36"/>
  <c r="AH95" i="36"/>
  <c r="AL95" i="36" l="1"/>
  <c r="AO95" i="36" l="1"/>
  <c r="AH96" i="36"/>
  <c r="AI96" i="36"/>
  <c r="AL96" i="36" l="1"/>
  <c r="AO96" i="36" l="1"/>
  <c r="AH97" i="36"/>
  <c r="AI97" i="36"/>
  <c r="AL97" i="36" l="1"/>
  <c r="AO97" i="36" l="1"/>
  <c r="AI98" i="36"/>
  <c r="AH98" i="36"/>
  <c r="AL98" i="36" l="1"/>
  <c r="AO98" i="36" l="1"/>
  <c r="AH99" i="36"/>
  <c r="AI99" i="36"/>
  <c r="AL99" i="36" l="1"/>
  <c r="AO99" i="36" l="1"/>
  <c r="AI100" i="36"/>
  <c r="AH100" i="36"/>
  <c r="AL100" i="36" l="1"/>
  <c r="AO100" i="36" l="1"/>
  <c r="AI101" i="36" l="1"/>
  <c r="AH101" i="36"/>
  <c r="AL101" i="36"/>
  <c r="AJ40" i="34" l="1"/>
  <c r="AO101" i="36"/>
  <c r="AJ37" i="34" l="1"/>
  <c r="AJ41" i="34"/>
  <c r="AJ39" i="34"/>
  <c r="AJ38" i="34"/>
  <c r="AJ42" i="34"/>
  <c r="AJ56" i="34"/>
  <c r="AI102" i="36"/>
  <c r="AI103" i="36" s="1"/>
  <c r="AH102" i="36"/>
  <c r="AH103" i="36" s="1"/>
  <c r="AK8" i="36"/>
  <c r="AK9" i="36"/>
  <c r="AK10" i="36"/>
  <c r="AK11" i="36"/>
  <c r="AK12" i="36"/>
  <c r="AK13" i="36"/>
  <c r="AK14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K39" i="36"/>
  <c r="AK40" i="36"/>
  <c r="AK41" i="36"/>
  <c r="AK42" i="36"/>
  <c r="AK43" i="36"/>
  <c r="AK44" i="36"/>
  <c r="AK45" i="36"/>
  <c r="AK46" i="36"/>
  <c r="AK47" i="36"/>
  <c r="AK48" i="36"/>
  <c r="AK49" i="36"/>
  <c r="AK50" i="36"/>
  <c r="AK51" i="36"/>
  <c r="AK52" i="36"/>
  <c r="AK53" i="36"/>
  <c r="AK54" i="36"/>
  <c r="AK55" i="36"/>
  <c r="AK56" i="36"/>
  <c r="AK57" i="36"/>
  <c r="AK58" i="36"/>
  <c r="AK59" i="36"/>
  <c r="AK60" i="36"/>
  <c r="AK61" i="36"/>
  <c r="AK62" i="36"/>
  <c r="AK63" i="36"/>
  <c r="AK64" i="36"/>
  <c r="AK65" i="36"/>
  <c r="AK66" i="36"/>
  <c r="AK67" i="36"/>
  <c r="AK68" i="36"/>
  <c r="AK69" i="36"/>
  <c r="AK70" i="36"/>
  <c r="AK71" i="36"/>
  <c r="AK72" i="36"/>
  <c r="AK73" i="36"/>
  <c r="AK74" i="36"/>
  <c r="AK75" i="36"/>
  <c r="AK76" i="36"/>
  <c r="AK77" i="36"/>
  <c r="AK78" i="36"/>
  <c r="AK79" i="36"/>
  <c r="AK80" i="36"/>
  <c r="AK81" i="36"/>
  <c r="AK82" i="36"/>
  <c r="AK83" i="36"/>
  <c r="AK84" i="36"/>
  <c r="AK85" i="36"/>
  <c r="AK86" i="36"/>
  <c r="AK87" i="36"/>
  <c r="AK88" i="36"/>
  <c r="AK89" i="36"/>
  <c r="AK90" i="36"/>
  <c r="AK91" i="36"/>
  <c r="AK92" i="36"/>
  <c r="AK93" i="36"/>
  <c r="AK94" i="36"/>
  <c r="AK95" i="36"/>
  <c r="AK96" i="36"/>
  <c r="AK101" i="36"/>
  <c r="AK100" i="36"/>
  <c r="AK99" i="36"/>
  <c r="AK98" i="36"/>
  <c r="AK97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0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N39" i="36"/>
  <c r="AN40" i="36"/>
  <c r="AN41" i="36"/>
  <c r="AN42" i="36"/>
  <c r="AN43" i="36"/>
  <c r="AN44" i="36"/>
  <c r="AN45" i="36"/>
  <c r="AN46" i="36"/>
  <c r="AN47" i="36"/>
  <c r="AN48" i="36"/>
  <c r="AN49" i="36"/>
  <c r="AN50" i="36"/>
  <c r="AN51" i="36"/>
  <c r="AN52" i="36"/>
  <c r="AN53" i="36"/>
  <c r="AN54" i="36"/>
  <c r="AN55" i="36"/>
  <c r="AN56" i="36"/>
  <c r="AN57" i="36"/>
  <c r="AN58" i="36"/>
  <c r="AN59" i="36"/>
  <c r="AN60" i="36"/>
  <c r="AN61" i="36"/>
  <c r="AN62" i="36"/>
  <c r="AN63" i="36"/>
  <c r="AN64" i="36"/>
  <c r="AN65" i="36"/>
  <c r="AN66" i="36"/>
  <c r="AN67" i="36"/>
  <c r="AN68" i="36"/>
  <c r="AN69" i="36"/>
  <c r="AN70" i="36"/>
  <c r="AN71" i="36"/>
  <c r="AN72" i="36"/>
  <c r="AN73" i="36"/>
  <c r="AN74" i="36"/>
  <c r="AN75" i="36"/>
  <c r="AN76" i="36"/>
  <c r="AN77" i="36"/>
  <c r="AN78" i="36"/>
  <c r="AN79" i="36"/>
  <c r="AN80" i="36"/>
  <c r="AN81" i="36"/>
  <c r="AN82" i="36"/>
  <c r="AN83" i="36"/>
  <c r="AN84" i="36"/>
  <c r="AN85" i="36"/>
  <c r="AN86" i="36"/>
  <c r="AN87" i="36"/>
  <c r="AN88" i="36"/>
  <c r="AN89" i="36"/>
  <c r="AN90" i="36"/>
  <c r="AN91" i="36"/>
  <c r="AN92" i="36"/>
  <c r="AN93" i="36"/>
  <c r="AN94" i="36"/>
  <c r="AN95" i="36"/>
  <c r="AN96" i="36"/>
  <c r="AN101" i="36"/>
  <c r="AN100" i="36"/>
  <c r="AN98" i="36"/>
  <c r="AN99" i="36"/>
  <c r="AN97" i="36"/>
  <c r="AN7" i="36"/>
  <c r="AK7" i="36"/>
  <c r="AL102" i="36"/>
  <c r="AK102" i="36" s="1"/>
  <c r="AS39" i="34" l="1"/>
  <c r="AJ55" i="34"/>
  <c r="AJ53" i="34"/>
  <c r="AJ52" i="34"/>
  <c r="AJ54" i="34"/>
  <c r="AS47" i="34"/>
  <c r="AO102" i="36"/>
  <c r="AN102" i="36" s="1"/>
  <c r="AX51" i="34" s="1"/>
  <c r="AX40" i="34"/>
  <c r="AX37" i="34"/>
  <c r="AX36" i="34"/>
  <c r="AX34" i="34"/>
  <c r="AX42" i="34"/>
  <c r="AX35" i="34"/>
  <c r="AX41" i="34"/>
  <c r="AX38" i="34"/>
  <c r="AX39" i="34"/>
  <c r="AX33" i="34"/>
  <c r="AJ47" i="34"/>
  <c r="AJ51" i="34"/>
  <c r="AJ50" i="34"/>
  <c r="AJ49" i="34"/>
  <c r="AJ48" i="34"/>
  <c r="AJ36" i="34"/>
  <c r="AJ35" i="34"/>
  <c r="AJ34" i="34"/>
  <c r="AY51" i="34"/>
  <c r="AI47" i="34"/>
  <c r="AS34" i="34" l="1"/>
  <c r="AR34" i="34" s="1"/>
  <c r="AS41" i="34"/>
  <c r="AR41" i="34" s="1"/>
  <c r="AS38" i="34"/>
  <c r="AR38" i="34" s="1"/>
  <c r="AS37" i="34"/>
  <c r="AR37" i="34" s="1"/>
  <c r="AS36" i="34"/>
  <c r="AR36" i="34" s="1"/>
  <c r="AS35" i="34"/>
  <c r="AR35" i="34" s="1"/>
  <c r="AS42" i="34"/>
  <c r="AR42" i="34" s="1"/>
  <c r="AS33" i="34"/>
  <c r="AR33" i="34" s="1"/>
  <c r="AS40" i="34"/>
  <c r="AR40" i="34" s="1"/>
  <c r="AS50" i="34"/>
  <c r="AS52" i="34"/>
  <c r="AS51" i="34"/>
  <c r="AS48" i="34"/>
  <c r="AS49" i="34"/>
  <c r="AS56" i="34"/>
  <c r="AS55" i="34"/>
  <c r="AS54" i="34"/>
  <c r="AS53" i="34"/>
  <c r="AJ33" i="34"/>
  <c r="AR39" i="34"/>
  <c r="AR47" i="34"/>
  <c r="AX48" i="34"/>
  <c r="AX54" i="34"/>
  <c r="AX53" i="34"/>
  <c r="AX47" i="34"/>
  <c r="AX52" i="34"/>
  <c r="AX49" i="34"/>
  <c r="AX55" i="34"/>
  <c r="AX50" i="34"/>
  <c r="AX56" i="34"/>
  <c r="AY34" i="34"/>
  <c r="AY36" i="34"/>
  <c r="AY39" i="34"/>
  <c r="AY50" i="34"/>
  <c r="AY41" i="34"/>
  <c r="AY38" i="34"/>
  <c r="AY37" i="34"/>
  <c r="AY49" i="34"/>
  <c r="AY47" i="34"/>
  <c r="AY42" i="34"/>
  <c r="AI33" i="34"/>
  <c r="AY48" i="34"/>
  <c r="AY35" i="34"/>
  <c r="AY33" i="34"/>
  <c r="AY40" i="34"/>
  <c r="AR51" i="34" l="1"/>
  <c r="AR48" i="34"/>
  <c r="AR53" i="34"/>
  <c r="AR54" i="34"/>
  <c r="AR56" i="34"/>
  <c r="AR55" i="34"/>
  <c r="AR52" i="34"/>
  <c r="AR49" i="34"/>
  <c r="AY52" i="34"/>
  <c r="AY53" i="34"/>
  <c r="AY54" i="34"/>
  <c r="AY56" i="34"/>
  <c r="AY55" i="34"/>
  <c r="AQ47" i="34"/>
  <c r="AQ33" i="34"/>
  <c r="AR50" i="34" l="1"/>
  <c r="T6" i="34" l="1"/>
  <c r="T5" i="34" l="1"/>
</calcChain>
</file>

<file path=xl/comments1.xml><?xml version="1.0" encoding="utf-8"?>
<comments xmlns="http://schemas.openxmlformats.org/spreadsheetml/2006/main">
  <authors>
    <author>masahiro</author>
  </authors>
  <commentList>
    <comment ref="AL33" authorId="0">
      <text>
        <r>
          <rPr>
            <b/>
            <sz val="9"/>
            <color indexed="81"/>
            <rFont val="MS P ゴシック"/>
            <family val="3"/>
            <charset val="128"/>
          </rPr>
          <t>15:10 = 0.6319
15:15 = 0.6354
15:17 = 0.6358　⇒　alertマクロを回すため後ろは15:17に。
=IF(AND(0.6319&lt;=(NOW()-TODAY()),(NOW()-TODAY())&lt;=0.6354),1,0)</t>
        </r>
      </text>
    </comment>
    <comment ref="AS63" authorId="0">
      <text>
        <r>
          <rPr>
            <b/>
            <sz val="9"/>
            <color indexed="81"/>
            <rFont val="MS P ゴシック"/>
            <family val="3"/>
            <charset val="128"/>
          </rPr>
          <t>新しい条件を追加する場合は数式注意</t>
        </r>
      </text>
    </comment>
    <comment ref="AS93" authorId="0">
      <text>
        <r>
          <rPr>
            <b/>
            <sz val="9"/>
            <color indexed="81"/>
            <rFont val="MS P ゴシック"/>
            <family val="3"/>
            <charset val="128"/>
          </rPr>
          <t>新しい条件を追加する場合は数式注意</t>
        </r>
      </text>
    </comment>
    <comment ref="AS123" authorId="0">
      <text>
        <r>
          <rPr>
            <b/>
            <sz val="9"/>
            <color indexed="81"/>
            <rFont val="MS P ゴシック"/>
            <family val="3"/>
            <charset val="128"/>
          </rPr>
          <t>新しい条件を追加する場合は数式注意</t>
        </r>
      </text>
    </comment>
    <comment ref="AS153" authorId="0">
      <text>
        <r>
          <rPr>
            <b/>
            <sz val="9"/>
            <color indexed="81"/>
            <rFont val="MS P ゴシック"/>
            <family val="3"/>
            <charset val="128"/>
          </rPr>
          <t>新しい条件を追加する場合は数式注意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<sst xmlns="http://schemas.openxmlformats.org/spreadsheetml/2006/main" count="288" uniqueCount="124">
  <si>
    <t>資金</t>
    <rPh sb="0" eb="2">
      <t>シキン</t>
    </rPh>
    <phoneticPr fontId="2"/>
  </si>
  <si>
    <t>1ロット最大投入額</t>
    <rPh sb="4" eb="6">
      <t>サイダイ</t>
    </rPh>
    <rPh sb="6" eb="8">
      <t>トウニュウ</t>
    </rPh>
    <rPh sb="8" eb="9">
      <t>ガク</t>
    </rPh>
    <phoneticPr fontId="2"/>
  </si>
  <si>
    <t>銘柄名</t>
    <rPh sb="0" eb="2">
      <t>メイガラ</t>
    </rPh>
    <rPh sb="2" eb="3">
      <t>メイ</t>
    </rPh>
    <phoneticPr fontId="2"/>
  </si>
  <si>
    <t>発注ID</t>
    <rPh sb="0" eb="2">
      <t>ハッチュウ</t>
    </rPh>
    <phoneticPr fontId="2"/>
  </si>
  <si>
    <t>被りなく1以上の数値入力</t>
    <rPh sb="0" eb="1">
      <t>カブ</t>
    </rPh>
    <rPh sb="5" eb="7">
      <t>イジョウ</t>
    </rPh>
    <rPh sb="8" eb="10">
      <t>スウチ</t>
    </rPh>
    <rPh sb="10" eb="12">
      <t>ニュウリョク</t>
    </rPh>
    <phoneticPr fontId="2"/>
  </si>
  <si>
    <t>https://marketspeed.jp/guide/manual/ms2rss_function.pdf</t>
    <phoneticPr fontId="2"/>
  </si>
  <si>
    <t>https://marketspeed.jp/ms2_rss/onlinehelp/ohm_002/</t>
    <phoneticPr fontId="2"/>
  </si>
  <si>
    <t>関数一覧</t>
    <rPh sb="0" eb="2">
      <t>カンスウ</t>
    </rPh>
    <rPh sb="2" eb="4">
      <t>イチラン</t>
    </rPh>
    <phoneticPr fontId="2"/>
  </si>
  <si>
    <t>操作方法</t>
    <rPh sb="0" eb="2">
      <t>ソウサ</t>
    </rPh>
    <rPh sb="2" eb="4">
      <t>ホウホウ</t>
    </rPh>
    <phoneticPr fontId="2"/>
  </si>
  <si>
    <t>コード</t>
    <phoneticPr fontId="2"/>
  </si>
  <si>
    <t>--------</t>
    <phoneticPr fontId="2"/>
  </si>
  <si>
    <t>銘柄コード</t>
    <rPh sb="0" eb="2">
      <t>メイガラ</t>
    </rPh>
    <phoneticPr fontId="2"/>
  </si>
  <si>
    <t>発注トリガー</t>
    <rPh sb="0" eb="2">
      <t>ハッチュウ</t>
    </rPh>
    <phoneticPr fontId="2"/>
  </si>
  <si>
    <t>売買区分</t>
    <rPh sb="0" eb="2">
      <t>バイバイ</t>
    </rPh>
    <rPh sb="2" eb="4">
      <t>クブン</t>
    </rPh>
    <phoneticPr fontId="2"/>
  </si>
  <si>
    <t>執行時間条件</t>
    <rPh sb="0" eb="2">
      <t>シッコウ</t>
    </rPh>
    <rPh sb="2" eb="6">
      <t>ジカンジョウケン</t>
    </rPh>
    <phoneticPr fontId="2"/>
  </si>
  <si>
    <t xml:space="preserve">1：当セッション、4：引け、5：期間指定、9：取引最終日 </t>
    <phoneticPr fontId="2"/>
  </si>
  <si>
    <t>1：売り（売建）、3：買い（買建）</t>
    <phoneticPr fontId="2"/>
  </si>
  <si>
    <t>限月</t>
    <rPh sb="0" eb="2">
      <t>ゲンゲツ</t>
    </rPh>
    <phoneticPr fontId="2"/>
  </si>
  <si>
    <t>N225MF</t>
    <phoneticPr fontId="2"/>
  </si>
  <si>
    <t>銘柄種類</t>
    <rPh sb="0" eb="2">
      <t>メイガラ</t>
    </rPh>
    <rPh sb="2" eb="4">
      <t>シュルイ</t>
    </rPh>
    <phoneticPr fontId="2"/>
  </si>
  <si>
    <t>ON/OFF</t>
    <phoneticPr fontId="2"/>
  </si>
  <si>
    <t>ポジション数</t>
    <rPh sb="5" eb="6">
      <t>スウ</t>
    </rPh>
    <phoneticPr fontId="2"/>
  </si>
  <si>
    <t>ポジション数とエントリー条件を満たせば1、満たさなければ0</t>
    <rPh sb="5" eb="6">
      <t>スウ</t>
    </rPh>
    <rPh sb="12" eb="14">
      <t>ジョウケン</t>
    </rPh>
    <rPh sb="15" eb="16">
      <t>ミ</t>
    </rPh>
    <rPh sb="21" eb="22">
      <t>ミ</t>
    </rPh>
    <phoneticPr fontId="2"/>
  </si>
  <si>
    <t>16：10～16:15の間なら1、それ以外は0</t>
    <rPh sb="12" eb="13">
      <t>アイダ</t>
    </rPh>
    <rPh sb="19" eb="21">
      <t>イガイ</t>
    </rPh>
    <phoneticPr fontId="2"/>
  </si>
  <si>
    <t>銘柄コード検索用</t>
    <rPh sb="0" eb="2">
      <t>メイガラ</t>
    </rPh>
    <rPh sb="5" eb="7">
      <t>ケンサク</t>
    </rPh>
    <rPh sb="7" eb="8">
      <t>ヨウ</t>
    </rPh>
    <phoneticPr fontId="2"/>
  </si>
  <si>
    <t>T.乖離条件</t>
    <rPh sb="2" eb="4">
      <t>カイリ</t>
    </rPh>
    <rPh sb="4" eb="6">
      <t>ジョウケン</t>
    </rPh>
    <phoneticPr fontId="2"/>
  </si>
  <si>
    <t>T.時間</t>
    <rPh sb="2" eb="4">
      <t>ジカン</t>
    </rPh>
    <phoneticPr fontId="2"/>
  </si>
  <si>
    <t>注文状況取得</t>
    <rPh sb="0" eb="4">
      <t>チュウモンジョウキョウ</t>
    </rPh>
    <rPh sb="4" eb="6">
      <t>シュトク</t>
    </rPh>
    <phoneticPr fontId="2"/>
  </si>
  <si>
    <t>枚数（マスタ）</t>
    <rPh sb="0" eb="2">
      <t>マイスウ</t>
    </rPh>
    <phoneticPr fontId="2"/>
  </si>
  <si>
    <t>1エントリーの購入枚数</t>
    <rPh sb="7" eb="9">
      <t>コウニュウ</t>
    </rPh>
    <rPh sb="9" eb="11">
      <t>マイスウ</t>
    </rPh>
    <phoneticPr fontId="2"/>
  </si>
  <si>
    <t>クローズ条件を満たせば1、満たさなければ0</t>
    <rPh sb="4" eb="6">
      <t>ジョウケン</t>
    </rPh>
    <rPh sb="7" eb="8">
      <t>ミ</t>
    </rPh>
    <rPh sb="13" eb="14">
      <t>ミ</t>
    </rPh>
    <phoneticPr fontId="2"/>
  </si>
  <si>
    <t>1：売り（転売）、3：買い（買戻）</t>
    <rPh sb="5" eb="7">
      <t>テンバイ</t>
    </rPh>
    <rPh sb="15" eb="16">
      <t>モド</t>
    </rPh>
    <phoneticPr fontId="2"/>
  </si>
  <si>
    <t>　</t>
    <phoneticPr fontId="2"/>
  </si>
  <si>
    <t>銘柄名称</t>
    <rPh sb="0" eb="2">
      <t>メイガラ</t>
    </rPh>
    <rPh sb="2" eb="4">
      <t>メイショウ</t>
    </rPh>
    <phoneticPr fontId="2"/>
  </si>
  <si>
    <t>売買</t>
    <rPh sb="0" eb="2">
      <t>バイバイ</t>
    </rPh>
    <phoneticPr fontId="2"/>
  </si>
  <si>
    <t>建日</t>
    <rPh sb="0" eb="2">
      <t>タテビ</t>
    </rPh>
    <phoneticPr fontId="2"/>
  </si>
  <si>
    <t>建玉数量</t>
    <rPh sb="0" eb="1">
      <t>タテ</t>
    </rPh>
    <rPh sb="1" eb="2">
      <t>ダマ</t>
    </rPh>
    <rPh sb="2" eb="4">
      <t>スウリョウ</t>
    </rPh>
    <phoneticPr fontId="2"/>
  </si>
  <si>
    <t>売建ポジションリスト</t>
    <rPh sb="0" eb="1">
      <t>ウ</t>
    </rPh>
    <rPh sb="1" eb="2">
      <t>タテ</t>
    </rPh>
    <phoneticPr fontId="2"/>
  </si>
  <si>
    <t>買建ポジションリスト</t>
    <rPh sb="0" eb="1">
      <t>カ</t>
    </rPh>
    <rPh sb="1" eb="2">
      <t>タテ</t>
    </rPh>
    <phoneticPr fontId="2"/>
  </si>
  <si>
    <t>建単価</t>
    <rPh sb="0" eb="1">
      <t>タテ</t>
    </rPh>
    <rPh sb="1" eb="3">
      <t>タンカ</t>
    </rPh>
    <phoneticPr fontId="2"/>
  </si>
  <si>
    <t>ポジションが有れば1、無ければ0</t>
    <rPh sb="6" eb="7">
      <t>ア</t>
    </rPh>
    <rPh sb="11" eb="12">
      <t>ナ</t>
    </rPh>
    <phoneticPr fontId="2"/>
  </si>
  <si>
    <t>日経225mini</t>
  </si>
  <si>
    <t>-</t>
  </si>
  <si>
    <t>商品</t>
    <rPh sb="0" eb="2">
      <t>ショウヒン</t>
    </rPh>
    <phoneticPr fontId="2"/>
  </si>
  <si>
    <t>限月取引</t>
  </si>
  <si>
    <t>9桁コード</t>
    <rPh sb="1" eb="2">
      <t>ケタ</t>
    </rPh>
    <phoneticPr fontId="2"/>
  </si>
  <si>
    <t>限月コード下2桁
（日経225Weeklyオプション）</t>
  </si>
  <si>
    <t>権利行使日</t>
    <rPh sb="0" eb="2">
      <t>ケンリ</t>
    </rPh>
    <rPh sb="2" eb="4">
      <t>コウシ</t>
    </rPh>
    <rPh sb="4" eb="5">
      <t>ビ</t>
    </rPh>
    <phoneticPr fontId="2"/>
  </si>
  <si>
    <t>取引最終日
(建玉切り替え日)</t>
    <rPh sb="0" eb="2">
      <t>トリヒキ</t>
    </rPh>
    <rPh sb="2" eb="5">
      <t>サイシュウビ</t>
    </rPh>
    <rPh sb="7" eb="9">
      <t>タテダマ</t>
    </rPh>
    <rPh sb="9" eb="10">
      <t>キ</t>
    </rPh>
    <rPh sb="11" eb="12">
      <t>カ</t>
    </rPh>
    <rPh sb="13" eb="14">
      <t>ビ</t>
    </rPh>
    <phoneticPr fontId="2"/>
  </si>
  <si>
    <t>https://www.jpx.co.jp/derivatives/rules/last-trading-day/</t>
    <phoneticPr fontId="2"/>
  </si>
  <si>
    <t>JPX取引最終日→</t>
    <rPh sb="3" eb="8">
      <t>トリヒキサイシュウビ</t>
    </rPh>
    <phoneticPr fontId="2"/>
  </si>
  <si>
    <t>フラグ</t>
    <phoneticPr fontId="2"/>
  </si>
  <si>
    <t>【RSI Day】買建エントリー</t>
    <rPh sb="9" eb="10">
      <t>カ</t>
    </rPh>
    <rPh sb="10" eb="11">
      <t>タテ</t>
    </rPh>
    <phoneticPr fontId="2"/>
  </si>
  <si>
    <t>【RSI Day】買建クローズ</t>
    <rPh sb="9" eb="10">
      <t>カ</t>
    </rPh>
    <rPh sb="10" eb="11">
      <t>タテ</t>
    </rPh>
    <phoneticPr fontId="2"/>
  </si>
  <si>
    <t>1でON、0でOFF</t>
    <phoneticPr fontId="2"/>
  </si>
  <si>
    <t>建日</t>
    <rPh sb="0" eb="1">
      <t>タテ</t>
    </rPh>
    <rPh sb="1" eb="2">
      <t>ビ</t>
    </rPh>
    <phoneticPr fontId="2"/>
  </si>
  <si>
    <t>買いポジション建日</t>
    <rPh sb="0" eb="1">
      <t>カ</t>
    </rPh>
    <rPh sb="7" eb="9">
      <t>タテビ</t>
    </rPh>
    <phoneticPr fontId="2"/>
  </si>
  <si>
    <t>売りポジション建日</t>
    <rPh sb="0" eb="1">
      <t>ウ</t>
    </rPh>
    <rPh sb="7" eb="9">
      <t>タテビ</t>
    </rPh>
    <phoneticPr fontId="2"/>
  </si>
  <si>
    <t>カウント</t>
    <phoneticPr fontId="2"/>
  </si>
  <si>
    <t>建単価</t>
    <rPh sb="0" eb="3">
      <t>タテタンカ</t>
    </rPh>
    <phoneticPr fontId="2"/>
  </si>
  <si>
    <t>ドローダウン</t>
    <phoneticPr fontId="13"/>
  </si>
  <si>
    <t>売りポジション
取得価格</t>
    <rPh sb="0" eb="1">
      <t>ウ</t>
    </rPh>
    <rPh sb="8" eb="10">
      <t>シュトク</t>
    </rPh>
    <rPh sb="10" eb="12">
      <t>カカク</t>
    </rPh>
    <phoneticPr fontId="13"/>
  </si>
  <si>
    <t>【ポジション数チェックエリア】</t>
    <rPh sb="6" eb="7">
      <t>スウ</t>
    </rPh>
    <phoneticPr fontId="2"/>
  </si>
  <si>
    <t>トータル</t>
    <phoneticPr fontId="2"/>
  </si>
  <si>
    <t>売りポジション</t>
    <rPh sb="0" eb="1">
      <t>ウ</t>
    </rPh>
    <phoneticPr fontId="2"/>
  </si>
  <si>
    <t>買いポジション</t>
    <rPh sb="0" eb="1">
      <t>カ</t>
    </rPh>
    <phoneticPr fontId="2"/>
  </si>
  <si>
    <t>買いポジション
取得価格</t>
    <rPh sb="0" eb="1">
      <t>カ</t>
    </rPh>
    <rPh sb="8" eb="10">
      <t>シュトク</t>
    </rPh>
    <rPh sb="10" eb="12">
      <t>カカク</t>
    </rPh>
    <phoneticPr fontId="13"/>
  </si>
  <si>
    <t>口座ステータス</t>
    <rPh sb="0" eb="2">
      <t>コウザ</t>
    </rPh>
    <phoneticPr fontId="2"/>
  </si>
  <si>
    <t>メソッド起動状況　※こちらではONOFFしない。AA～AC列で調整すること</t>
    <rPh sb="4" eb="6">
      <t>キドウ</t>
    </rPh>
    <rPh sb="6" eb="8">
      <t>ジョウキョウ</t>
    </rPh>
    <rPh sb="29" eb="30">
      <t>レツ</t>
    </rPh>
    <rPh sb="31" eb="33">
      <t>チョウセイ</t>
    </rPh>
    <phoneticPr fontId="2"/>
  </si>
  <si>
    <t>メモ欄⇒</t>
    <rPh sb="2" eb="3">
      <t>ラン</t>
    </rPh>
    <phoneticPr fontId="2"/>
  </si>
  <si>
    <t>RSS関数</t>
    <rPh sb="3" eb="5">
      <t>カンスウ</t>
    </rPh>
    <phoneticPr fontId="2"/>
  </si>
  <si>
    <t>15：10～15:15の間なら1、それ以外は0</t>
    <rPh sb="12" eb="13">
      <t>アイダ</t>
    </rPh>
    <rPh sb="19" eb="21">
      <t>イガイ</t>
    </rPh>
    <phoneticPr fontId="2"/>
  </si>
  <si>
    <t>証拠金維持率</t>
    <rPh sb="0" eb="3">
      <t>ショウコキン</t>
    </rPh>
    <rPh sb="3" eb="6">
      <t>イジリツ</t>
    </rPh>
    <phoneticPr fontId="2"/>
  </si>
  <si>
    <t>現物買付可能額</t>
    <rPh sb="0" eb="2">
      <t>ゲンブツ</t>
    </rPh>
    <rPh sb="2" eb="4">
      <t>カイツケ</t>
    </rPh>
    <rPh sb="4" eb="7">
      <t>カノウガク</t>
    </rPh>
    <phoneticPr fontId="2"/>
  </si>
  <si>
    <t>【関数テストエリア】</t>
    <rPh sb="1" eb="3">
      <t>カンスウ</t>
    </rPh>
    <phoneticPr fontId="2"/>
  </si>
  <si>
    <t>約定日</t>
  </si>
  <si>
    <t>銘柄コード</t>
  </si>
  <si>
    <t>取引</t>
  </si>
  <si>
    <t>約定数量</t>
  </si>
  <si>
    <t>約定単価</t>
  </si>
  <si>
    <t>買建</t>
    <rPh sb="0" eb="1">
      <t>カ</t>
    </rPh>
    <rPh sb="1" eb="2">
      <t>タテ</t>
    </rPh>
    <phoneticPr fontId="2"/>
  </si>
  <si>
    <t>注文単価</t>
    <phoneticPr fontId="2"/>
  </si>
  <si>
    <t>注文区分</t>
    <phoneticPr fontId="2"/>
  </si>
  <si>
    <t>---</t>
    <phoneticPr fontId="2"/>
  </si>
  <si>
    <t>N225M.FUT02.OS</t>
    <phoneticPr fontId="2"/>
  </si>
  <si>
    <t>--------</t>
  </si>
  <si>
    <t>売建</t>
    <phoneticPr fontId="2"/>
  </si>
  <si>
    <t>買建</t>
    <phoneticPr fontId="2"/>
  </si>
  <si>
    <t>通常注文</t>
    <phoneticPr fontId="2"/>
  </si>
  <si>
    <t>N225.FUT01.OS</t>
  </si>
  <si>
    <t>未使=＞</t>
    <rPh sb="0" eb="1">
      <t>ミ</t>
    </rPh>
    <rPh sb="1" eb="2">
      <t>シ</t>
    </rPh>
    <phoneticPr fontId="2"/>
  </si>
  <si>
    <t>売建</t>
  </si>
  <si>
    <t>日経225ミニ 23-09</t>
  </si>
  <si>
    <t>買建</t>
  </si>
  <si>
    <t>2023/06/22 11:29:55</t>
    <phoneticPr fontId="2"/>
  </si>
  <si>
    <t>2023/06/22 14:48:05</t>
    <phoneticPr fontId="2"/>
  </si>
  <si>
    <t>2023/06/22 14:55:39</t>
    <phoneticPr fontId="2"/>
  </si>
  <si>
    <t>2023/06/22 16:51:21</t>
    <phoneticPr fontId="2"/>
  </si>
  <si>
    <t>2023/06/22 23:28:42</t>
    <phoneticPr fontId="2"/>
  </si>
  <si>
    <t>2023/06/23 03:55:28</t>
    <phoneticPr fontId="2"/>
  </si>
  <si>
    <t>2023/06/23 08:50:22</t>
    <phoneticPr fontId="2"/>
  </si>
  <si>
    <t>2023/06/23 09:00:05</t>
    <phoneticPr fontId="2"/>
  </si>
  <si>
    <t>2023/06/23 09:19:17</t>
    <phoneticPr fontId="2"/>
  </si>
  <si>
    <t>2023/06/23 09:32:53</t>
    <phoneticPr fontId="2"/>
  </si>
  <si>
    <t>2023/06/23 09:35:43</t>
    <phoneticPr fontId="2"/>
  </si>
  <si>
    <t>2023/06/23 10:31:27</t>
    <phoneticPr fontId="2"/>
  </si>
  <si>
    <t>2023/06/23 10:40:32</t>
    <phoneticPr fontId="2"/>
  </si>
  <si>
    <t>2023/06/23 21:32:21</t>
    <phoneticPr fontId="2"/>
  </si>
  <si>
    <t>2023/06/23 21:44:16</t>
    <phoneticPr fontId="2"/>
  </si>
  <si>
    <t>2023/06/23 21:45:19</t>
    <phoneticPr fontId="2"/>
  </si>
  <si>
    <t>2023/06/23 21:45:58</t>
    <phoneticPr fontId="2"/>
  </si>
  <si>
    <t>2023/06/23 23:00:11</t>
    <phoneticPr fontId="2"/>
  </si>
  <si>
    <t>2023/06/23 23:12:06</t>
    <phoneticPr fontId="2"/>
  </si>
  <si>
    <t>2023/06/24 01:29:43</t>
    <phoneticPr fontId="2"/>
  </si>
  <si>
    <t>売買ポジション</t>
    <rPh sb="0" eb="2">
      <t>バイバイ</t>
    </rPh>
    <phoneticPr fontId="2"/>
  </si>
  <si>
    <t>データサーバーのデータ反映</t>
    <rPh sb="11" eb="13">
      <t>ハンエイ</t>
    </rPh>
    <phoneticPr fontId="2"/>
  </si>
  <si>
    <t>売ポジション数</t>
    <rPh sb="0" eb="1">
      <t>ウ</t>
    </rPh>
    <rPh sb="6" eb="7">
      <t>スウ</t>
    </rPh>
    <phoneticPr fontId="2"/>
  </si>
  <si>
    <t>売エントリ条件</t>
    <rPh sb="0" eb="1">
      <t>ウ</t>
    </rPh>
    <rPh sb="5" eb="7">
      <t>ジョウケン</t>
    </rPh>
    <phoneticPr fontId="2"/>
  </si>
  <si>
    <t>買ポジション数</t>
    <rPh sb="0" eb="1">
      <t>バイ</t>
    </rPh>
    <rPh sb="6" eb="7">
      <t>スウ</t>
    </rPh>
    <phoneticPr fontId="2"/>
  </si>
  <si>
    <t>買エントリー条件</t>
    <rPh sb="0" eb="1">
      <t>カ</t>
    </rPh>
    <rPh sb="6" eb="8">
      <t>ジョウケン</t>
    </rPh>
    <phoneticPr fontId="2"/>
  </si>
  <si>
    <t>売建クローズ</t>
    <rPh sb="0" eb="1">
      <t>ウ</t>
    </rPh>
    <rPh sb="1" eb="2">
      <t>タテ</t>
    </rPh>
    <phoneticPr fontId="2"/>
  </si>
  <si>
    <t>売建エントリー</t>
    <rPh sb="0" eb="1">
      <t>ウ</t>
    </rPh>
    <rPh sb="1" eb="2">
      <t>タテ</t>
    </rPh>
    <phoneticPr fontId="2"/>
  </si>
  <si>
    <t>売クローズ条件</t>
    <rPh sb="0" eb="1">
      <t>ウ</t>
    </rPh>
    <rPh sb="5" eb="7">
      <t>ジョウケン</t>
    </rPh>
    <phoneticPr fontId="2"/>
  </si>
  <si>
    <t>買クローズ条件</t>
    <rPh sb="0" eb="1">
      <t>カ</t>
    </rPh>
    <rPh sb="5" eb="7">
      <t>ジョウケン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</si>
</sst>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&quot;¥&quot;#,##0_);[Red]\(&quot;¥&quot;#,##0\)"/>
    <numFmt numFmtId="177" formatCode="0.0"/>
    <numFmt numFmtId="178" formatCode="#,##0.0;[Red]\-#,##0.0"/>
    <numFmt numFmtId="179" formatCode="0_ ;[Red]\-0\ "/>
    <numFmt numFmtId="180" formatCode="0.0_ ;[Red]\-0.0\ "/>
    <numFmt numFmtId="181" formatCode="0.0000_);[Red]\(0.0000\)"/>
    <numFmt numFmtId="182" formatCode="0.0000"/>
    <numFmt numFmtId="183" formatCode="0_ "/>
    <numFmt numFmtId="184" formatCode="yyyy/mm/dd\(aaa\)"/>
    <numFmt numFmtId="185" formatCode="yyyy&quot;年&quot;m&quot;月&quot;&quot;限&quot;&quot;月&quot;"/>
    <numFmt numFmtId="186" formatCode="yyyy/mm/dd\ \(aaa\)"/>
    <numFmt numFmtId="187" formatCode="yyyy/m/d;@"/>
    <numFmt numFmtId="188" formatCode="yyyymmdd"/>
    <numFmt numFmtId="189" formatCode="#,##0_ ;[Red]\-#,##0\ "/>
  </numFmts>
  <fonts count="2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C00000"/>
      <name val="Meiryo UI"/>
      <family val="3"/>
      <charset val="128"/>
    </font>
    <font>
      <u/>
      <sz val="11"/>
      <color theme="10"/>
      <name val="ＭＳ Ｐゴシック"/>
      <family val="2"/>
      <scheme val="minor"/>
    </font>
    <font>
      <sz val="11"/>
      <color theme="9" tint="0.59999389629810485"/>
      <name val="Meiryo UI"/>
      <family val="3"/>
      <charset val="128"/>
    </font>
    <font>
      <sz val="11"/>
      <color theme="1"/>
      <name val="ＭＳ Ｐゴシック"/>
      <family val="2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rgb="FFFF0000"/>
      <name val="Meiryo UI"/>
      <family val="3"/>
      <charset val="128"/>
    </font>
    <font>
      <sz val="10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11"/>
      <color theme="1"/>
      <name val="Meiryo UI"/>
      <family val="2"/>
      <charset val="128"/>
    </font>
    <font>
      <b/>
      <sz val="11"/>
      <color rgb="FFFFFFFF"/>
      <name val="Meiryo UI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6" fillId="0" borderId="0" applyNumberForma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/>
    <xf numFmtId="0" fontId="19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149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/>
    </xf>
    <xf numFmtId="177" fontId="3" fillId="0" borderId="0" xfId="0" quotePrefix="1" applyNumberFormat="1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3" fillId="0" borderId="0" xfId="0" quotePrefix="1" applyFont="1" applyAlignment="1">
      <alignment horizontal="left"/>
    </xf>
    <xf numFmtId="0" fontId="10" fillId="0" borderId="1" xfId="0" applyFont="1" applyBorder="1" applyAlignment="1">
      <alignment horizontal="center"/>
    </xf>
    <xf numFmtId="1" fontId="4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 shrinkToFit="1"/>
    </xf>
    <xf numFmtId="0" fontId="11" fillId="0" borderId="0" xfId="0" applyFont="1" applyAlignment="1">
      <alignment horizontal="center" wrapText="1"/>
    </xf>
    <xf numFmtId="0" fontId="3" fillId="0" borderId="0" xfId="0" applyFont="1"/>
    <xf numFmtId="0" fontId="12" fillId="0" borderId="0" xfId="1" applyFont="1"/>
    <xf numFmtId="0" fontId="3" fillId="0" borderId="0" xfId="0" applyFont="1" applyAlignment="1">
      <alignment horizontal="left" shrinkToFit="1"/>
    </xf>
    <xf numFmtId="0" fontId="3" fillId="0" borderId="1" xfId="0" applyFont="1" applyBorder="1" applyAlignment="1">
      <alignment horizontal="left" shrinkToFit="1"/>
    </xf>
    <xf numFmtId="0" fontId="5" fillId="0" borderId="1" xfId="0" applyFont="1" applyBorder="1" applyAlignment="1">
      <alignment horizontal="left" shrinkToFit="1"/>
    </xf>
    <xf numFmtId="0" fontId="3" fillId="2" borderId="1" xfId="0" applyFont="1" applyFill="1" applyBorder="1" applyAlignment="1">
      <alignment horizontal="center" shrinkToFit="1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177" fontId="3" fillId="0" borderId="0" xfId="0" applyNumberFormat="1" applyFont="1" applyAlignment="1">
      <alignment vertical="center"/>
    </xf>
    <xf numFmtId="178" fontId="4" fillId="4" borderId="3" xfId="2" applyNumberFormat="1" applyFont="1" applyFill="1" applyBorder="1" applyAlignment="1">
      <alignment horizontal="center" vertical="center"/>
    </xf>
    <xf numFmtId="178" fontId="4" fillId="5" borderId="3" xfId="2" applyNumberFormat="1" applyFont="1" applyFill="1" applyBorder="1" applyAlignment="1">
      <alignment horizontal="center" vertical="center" wrapText="1"/>
    </xf>
    <xf numFmtId="2" fontId="4" fillId="5" borderId="1" xfId="0" applyNumberFormat="1" applyFont="1" applyFill="1" applyBorder="1" applyAlignment="1">
      <alignment horizontal="center" vertical="center" wrapText="1"/>
    </xf>
    <xf numFmtId="2" fontId="4" fillId="4" borderId="1" xfId="0" applyNumberFormat="1" applyFont="1" applyFill="1" applyBorder="1" applyAlignment="1">
      <alignment vertical="top"/>
    </xf>
    <xf numFmtId="177" fontId="4" fillId="4" borderId="1" xfId="0" applyNumberFormat="1" applyFont="1" applyFill="1" applyBorder="1" applyAlignment="1">
      <alignment vertical="top"/>
    </xf>
    <xf numFmtId="178" fontId="4" fillId="4" borderId="3" xfId="2" applyNumberFormat="1" applyFont="1" applyFill="1" applyBorder="1" applyAlignment="1">
      <alignment vertical="top"/>
    </xf>
    <xf numFmtId="2" fontId="4" fillId="5" borderId="1" xfId="0" applyNumberFormat="1" applyFont="1" applyFill="1" applyBorder="1" applyAlignment="1">
      <alignment vertical="top" wrapText="1"/>
    </xf>
    <xf numFmtId="2" fontId="4" fillId="6" borderId="3" xfId="0" applyNumberFormat="1" applyFont="1" applyFill="1" applyBorder="1" applyAlignment="1">
      <alignment vertical="top" wrapText="1"/>
    </xf>
    <xf numFmtId="38" fontId="0" fillId="0" borderId="1" xfId="2" applyFont="1" applyBorder="1">
      <alignment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vertical="center"/>
    </xf>
    <xf numFmtId="177" fontId="3" fillId="0" borderId="1" xfId="0" applyNumberFormat="1" applyFont="1" applyBorder="1" applyAlignment="1">
      <alignment vertical="center"/>
    </xf>
    <xf numFmtId="177" fontId="0" fillId="0" borderId="1" xfId="0" applyNumberFormat="1" applyBorder="1" applyAlignment="1">
      <alignment vertical="center"/>
    </xf>
    <xf numFmtId="38" fontId="0" fillId="0" borderId="0" xfId="0" applyNumberFormat="1" applyAlignment="1">
      <alignment vertical="center"/>
    </xf>
    <xf numFmtId="179" fontId="4" fillId="2" borderId="1" xfId="0" applyNumberFormat="1" applyFont="1" applyFill="1" applyBorder="1" applyAlignment="1">
      <alignment horizontal="right"/>
    </xf>
    <xf numFmtId="180" fontId="4" fillId="2" borderId="1" xfId="0" applyNumberFormat="1" applyFont="1" applyFill="1" applyBorder="1" applyAlignment="1">
      <alignment horizontal="right"/>
    </xf>
    <xf numFmtId="0" fontId="9" fillId="0" borderId="1" xfId="0" applyFont="1" applyBorder="1" applyAlignment="1">
      <alignment horizontal="left" shrinkToFit="1"/>
    </xf>
    <xf numFmtId="179" fontId="0" fillId="0" borderId="1" xfId="0" applyNumberFormat="1" applyBorder="1" applyAlignment="1">
      <alignment vertical="center"/>
    </xf>
    <xf numFmtId="180" fontId="0" fillId="0" borderId="1" xfId="0" applyNumberFormat="1" applyBorder="1" applyAlignment="1">
      <alignment vertical="center"/>
    </xf>
    <xf numFmtId="14" fontId="14" fillId="4" borderId="1" xfId="0" applyNumberFormat="1" applyFont="1" applyFill="1" applyBorder="1" applyAlignment="1">
      <alignment vertical="center"/>
    </xf>
    <xf numFmtId="0" fontId="14" fillId="4" borderId="1" xfId="0" applyFon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177" fontId="3" fillId="0" borderId="1" xfId="0" applyNumberFormat="1" applyFont="1" applyBorder="1" applyAlignment="1">
      <alignment vertical="center" shrinkToFit="1"/>
    </xf>
    <xf numFmtId="181" fontId="3" fillId="0" borderId="0" xfId="0" applyNumberFormat="1" applyFont="1" applyAlignment="1">
      <alignment horizontal="center"/>
    </xf>
    <xf numFmtId="182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left" shrinkToFit="1"/>
    </xf>
    <xf numFmtId="0" fontId="3" fillId="0" borderId="0" xfId="0" applyFont="1" applyAlignment="1">
      <alignment horizontal="right"/>
    </xf>
    <xf numFmtId="0" fontId="3" fillId="0" borderId="1" xfId="0" quotePrefix="1" applyFont="1" applyBorder="1" applyAlignment="1">
      <alignment horizontal="center"/>
    </xf>
    <xf numFmtId="0" fontId="7" fillId="0" borderId="0" xfId="0" applyFont="1" applyAlignment="1">
      <alignment horizontal="center"/>
    </xf>
    <xf numFmtId="38" fontId="0" fillId="0" borderId="0" xfId="2" applyFont="1">
      <alignment vertical="center"/>
    </xf>
    <xf numFmtId="38" fontId="0" fillId="0" borderId="0" xfId="0" applyNumberFormat="1"/>
    <xf numFmtId="0" fontId="7" fillId="0" borderId="0" xfId="0" applyFont="1" applyAlignment="1">
      <alignment horizontal="center" shrinkToFit="1"/>
    </xf>
    <xf numFmtId="0" fontId="3" fillId="0" borderId="0" xfId="0" applyFont="1" applyAlignment="1">
      <alignment horizontal="center" shrinkToFit="1"/>
    </xf>
    <xf numFmtId="14" fontId="0" fillId="0" borderId="0" xfId="0" applyNumberFormat="1" applyAlignment="1">
      <alignment vertical="center" shrinkToFit="1"/>
    </xf>
    <xf numFmtId="0" fontId="3" fillId="2" borderId="0" xfId="0" applyFont="1" applyFill="1" applyAlignment="1">
      <alignment horizontal="center"/>
    </xf>
    <xf numFmtId="0" fontId="3" fillId="2" borderId="0" xfId="0" quotePrefix="1" applyFont="1" applyFill="1" applyAlignment="1">
      <alignment horizontal="center"/>
    </xf>
    <xf numFmtId="0" fontId="3" fillId="0" borderId="1" xfId="0" applyFont="1" applyBorder="1" applyAlignment="1">
      <alignment horizontal="left"/>
    </xf>
    <xf numFmtId="184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6" fillId="0" borderId="0" xfId="1"/>
    <xf numFmtId="0" fontId="3" fillId="0" borderId="1" xfId="4" applyFont="1" applyBorder="1" applyAlignment="1">
      <alignment horizontal="center" vertical="center"/>
    </xf>
    <xf numFmtId="0" fontId="3" fillId="0" borderId="1" xfId="4" applyFont="1" applyBorder="1" applyAlignment="1">
      <alignment horizontal="center" vertical="center" wrapText="1"/>
    </xf>
    <xf numFmtId="0" fontId="3" fillId="7" borderId="1" xfId="4" applyFont="1" applyFill="1" applyBorder="1" applyAlignment="1">
      <alignment horizontal="center" vertical="center" wrapText="1"/>
    </xf>
    <xf numFmtId="0" fontId="3" fillId="0" borderId="1" xfId="4" applyFont="1" applyBorder="1" applyAlignment="1">
      <alignment horizontal="left" vertical="center"/>
    </xf>
    <xf numFmtId="185" fontId="3" fillId="0" borderId="1" xfId="4" applyNumberFormat="1" applyFont="1" applyBorder="1" applyAlignment="1">
      <alignment horizontal="left" vertical="center"/>
    </xf>
    <xf numFmtId="186" fontId="3" fillId="0" borderId="1" xfId="4" applyNumberFormat="1" applyFont="1" applyBorder="1" applyAlignment="1">
      <alignment horizontal="left" vertical="center"/>
    </xf>
    <xf numFmtId="187" fontId="3" fillId="0" borderId="0" xfId="0" applyNumberFormat="1" applyFont="1" applyAlignment="1">
      <alignment horizontal="center"/>
    </xf>
    <xf numFmtId="188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/>
    </xf>
    <xf numFmtId="0" fontId="3" fillId="8" borderId="1" xfId="0" applyFont="1" applyFill="1" applyBorder="1" applyAlignment="1">
      <alignment horizontal="center"/>
    </xf>
    <xf numFmtId="2" fontId="4" fillId="6" borderId="1" xfId="0" applyNumberFormat="1" applyFont="1" applyFill="1" applyBorder="1" applyAlignment="1">
      <alignment vertical="top" wrapText="1"/>
    </xf>
    <xf numFmtId="0" fontId="3" fillId="0" borderId="5" xfId="4" applyFont="1" applyBorder="1" applyAlignment="1">
      <alignment horizontal="left" vertical="center"/>
    </xf>
    <xf numFmtId="0" fontId="0" fillId="0" borderId="1" xfId="0" applyBorder="1"/>
    <xf numFmtId="0" fontId="3" fillId="8" borderId="1" xfId="0" quotePrefix="1" applyFont="1" applyFill="1" applyBorder="1" applyAlignment="1">
      <alignment horizontal="center"/>
    </xf>
    <xf numFmtId="38" fontId="0" fillId="0" borderId="1" xfId="2" applyFont="1" applyFill="1" applyBorder="1">
      <alignment vertical="center"/>
    </xf>
    <xf numFmtId="1" fontId="5" fillId="7" borderId="1" xfId="0" applyNumberFormat="1" applyFont="1" applyFill="1" applyBorder="1" applyAlignment="1">
      <alignment horizontal="center"/>
    </xf>
    <xf numFmtId="0" fontId="3" fillId="0" borderId="1" xfId="0" quotePrefix="1" applyFont="1" applyBorder="1" applyAlignment="1">
      <alignment horizontal="left" shrinkToFit="1"/>
    </xf>
    <xf numFmtId="1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right"/>
    </xf>
    <xf numFmtId="0" fontId="3" fillId="9" borderId="1" xfId="0" applyFont="1" applyFill="1" applyBorder="1" applyAlignment="1">
      <alignment horizontal="left" shrinkToFit="1"/>
    </xf>
    <xf numFmtId="0" fontId="3" fillId="9" borderId="1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left" shrinkToFit="1"/>
    </xf>
    <xf numFmtId="0" fontId="3" fillId="9" borderId="0" xfId="0" applyFont="1" applyFill="1" applyAlignment="1">
      <alignment horizontal="center"/>
    </xf>
    <xf numFmtId="0" fontId="17" fillId="9" borderId="1" xfId="0" applyFont="1" applyFill="1" applyBorder="1" applyAlignment="1">
      <alignment horizontal="left" shrinkToFit="1"/>
    </xf>
    <xf numFmtId="0" fontId="3" fillId="9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 shrinkToFit="1"/>
    </xf>
    <xf numFmtId="0" fontId="4" fillId="9" borderId="1" xfId="0" applyFont="1" applyFill="1" applyBorder="1" applyAlignment="1">
      <alignment horizontal="center"/>
    </xf>
    <xf numFmtId="1" fontId="4" fillId="9" borderId="1" xfId="0" applyNumberFormat="1" applyFont="1" applyFill="1" applyBorder="1" applyAlignment="1">
      <alignment horizontal="center"/>
    </xf>
    <xf numFmtId="0" fontId="5" fillId="9" borderId="1" xfId="0" applyFont="1" applyFill="1" applyBorder="1" applyAlignment="1">
      <alignment horizontal="right"/>
    </xf>
    <xf numFmtId="1" fontId="10" fillId="9" borderId="1" xfId="0" applyNumberFormat="1" applyFont="1" applyFill="1" applyBorder="1" applyAlignment="1">
      <alignment horizontal="center"/>
    </xf>
    <xf numFmtId="1" fontId="18" fillId="9" borderId="1" xfId="0" applyNumberFormat="1" applyFont="1" applyFill="1" applyBorder="1" applyAlignment="1">
      <alignment horizontal="center"/>
    </xf>
    <xf numFmtId="0" fontId="3" fillId="9" borderId="0" xfId="0" applyFont="1" applyFill="1" applyAlignment="1">
      <alignment horizontal="left"/>
    </xf>
    <xf numFmtId="0" fontId="0" fillId="4" borderId="1" xfId="0" quotePrefix="1" applyFill="1" applyBorder="1" applyAlignment="1">
      <alignment vertical="center"/>
    </xf>
    <xf numFmtId="0" fontId="0" fillId="0" borderId="0" xfId="0" applyAlignment="1">
      <alignment horizontal="right" vertical="center"/>
    </xf>
    <xf numFmtId="38" fontId="4" fillId="4" borderId="1" xfId="2" applyFont="1" applyFill="1" applyBorder="1" applyAlignment="1">
      <alignment vertical="top"/>
    </xf>
    <xf numFmtId="0" fontId="14" fillId="10" borderId="1" xfId="0" applyFont="1" applyFill="1" applyBorder="1" applyAlignment="1">
      <alignment vertical="center"/>
    </xf>
    <xf numFmtId="38" fontId="4" fillId="7" borderId="1" xfId="2" applyFont="1" applyFill="1" applyBorder="1" applyAlignment="1">
      <alignment vertical="top" wrapText="1"/>
    </xf>
    <xf numFmtId="38" fontId="0" fillId="0" borderId="5" xfId="2" applyFont="1" applyBorder="1">
      <alignment vertical="center"/>
    </xf>
    <xf numFmtId="38" fontId="0" fillId="0" borderId="1" xfId="0" applyNumberFormat="1" applyBorder="1" applyAlignment="1">
      <alignment vertical="center"/>
    </xf>
    <xf numFmtId="38" fontId="0" fillId="0" borderId="5" xfId="2" applyFont="1" applyFill="1" applyBorder="1">
      <alignment vertical="center"/>
    </xf>
    <xf numFmtId="38" fontId="0" fillId="4" borderId="1" xfId="0" applyNumberFormat="1" applyFill="1" applyBorder="1" applyAlignment="1">
      <alignment vertical="center"/>
    </xf>
    <xf numFmtId="2" fontId="4" fillId="11" borderId="1" xfId="0" applyNumberFormat="1" applyFont="1" applyFill="1" applyBorder="1" applyAlignment="1">
      <alignment vertical="top" wrapText="1"/>
    </xf>
    <xf numFmtId="38" fontId="0" fillId="0" borderId="0" xfId="2" applyFont="1" applyBorder="1">
      <alignment vertical="center"/>
    </xf>
    <xf numFmtId="0" fontId="20" fillId="12" borderId="0" xfId="0" applyFont="1" applyFill="1" applyAlignment="1">
      <alignment horizontal="center"/>
    </xf>
    <xf numFmtId="1" fontId="10" fillId="0" borderId="1" xfId="0" applyNumberFormat="1" applyFont="1" applyBorder="1" applyAlignment="1">
      <alignment horizontal="center"/>
    </xf>
    <xf numFmtId="1" fontId="18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38" fontId="4" fillId="2" borderId="1" xfId="2" applyFont="1" applyFill="1" applyBorder="1" applyAlignment="1">
      <alignment horizontal="right"/>
    </xf>
    <xf numFmtId="179" fontId="4" fillId="9" borderId="1" xfId="0" applyNumberFormat="1" applyFont="1" applyFill="1" applyBorder="1" applyAlignment="1">
      <alignment horizontal="right"/>
    </xf>
    <xf numFmtId="180" fontId="4" fillId="9" borderId="1" xfId="0" applyNumberFormat="1" applyFont="1" applyFill="1" applyBorder="1" applyAlignment="1">
      <alignment horizontal="right"/>
    </xf>
    <xf numFmtId="0" fontId="3" fillId="9" borderId="0" xfId="0" applyFont="1" applyFill="1" applyAlignment="1">
      <alignment horizontal="left" shrinkToFit="1"/>
    </xf>
    <xf numFmtId="0" fontId="4" fillId="9" borderId="2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left" shrinkToFit="1"/>
    </xf>
    <xf numFmtId="0" fontId="5" fillId="9" borderId="1" xfId="0" applyFont="1" applyFill="1" applyBorder="1" applyAlignment="1">
      <alignment horizontal="left"/>
    </xf>
    <xf numFmtId="1" fontId="5" fillId="9" borderId="1" xfId="0" applyNumberFormat="1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183" fontId="4" fillId="2" borderId="1" xfId="0" applyNumberFormat="1" applyFont="1" applyFill="1" applyBorder="1" applyAlignment="1">
      <alignment horizontal="center" shrinkToFit="1"/>
    </xf>
    <xf numFmtId="0" fontId="20" fillId="0" borderId="0" xfId="0" applyFont="1" applyAlignment="1">
      <alignment horizontal="center"/>
    </xf>
    <xf numFmtId="177" fontId="4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center" shrinkToFit="1"/>
    </xf>
    <xf numFmtId="38" fontId="4" fillId="7" borderId="1" xfId="2" applyFont="1" applyFill="1" applyBorder="1" applyAlignment="1">
      <alignment vertical="top"/>
    </xf>
    <xf numFmtId="0" fontId="0" fillId="14" borderId="1" xfId="0" applyFill="1" applyBorder="1" applyAlignment="1">
      <alignment vertical="center"/>
    </xf>
    <xf numFmtId="38" fontId="0" fillId="0" borderId="1" xfId="2" applyFont="1" applyBorder="1" applyAlignment="1">
      <alignment vertical="center"/>
    </xf>
    <xf numFmtId="0" fontId="15" fillId="14" borderId="1" xfId="0" applyFont="1" applyFill="1" applyBorder="1" applyAlignment="1">
      <alignment vertical="center" shrinkToFit="1"/>
    </xf>
    <xf numFmtId="176" fontId="3" fillId="0" borderId="0" xfId="0" applyNumberFormat="1" applyFont="1" applyAlignment="1">
      <alignment horizontal="center"/>
    </xf>
    <xf numFmtId="38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76" fontId="3" fillId="0" borderId="0" xfId="0" quotePrefix="1" applyNumberFormat="1" applyFont="1" applyAlignment="1">
      <alignment horizontal="center"/>
    </xf>
    <xf numFmtId="9" fontId="3" fillId="0" borderId="0" xfId="7" applyFont="1" applyAlignment="1">
      <alignment horizontal="center"/>
    </xf>
    <xf numFmtId="176" fontId="3" fillId="0" borderId="0" xfId="6" applyFont="1" applyAlignment="1">
      <alignment horizontal="center"/>
    </xf>
    <xf numFmtId="177" fontId="0" fillId="0" borderId="0" xfId="0" applyNumberFormat="1" applyAlignment="1">
      <alignment vertical="center"/>
    </xf>
    <xf numFmtId="189" fontId="0" fillId="0" borderId="1" xfId="0" applyNumberFormat="1" applyBorder="1" applyAlignment="1">
      <alignment vertical="center"/>
    </xf>
    <xf numFmtId="0" fontId="3" fillId="0" borderId="0" xfId="0" applyFont="1" applyAlignment="1">
      <alignment horizontal="center" wrapText="1"/>
    </xf>
    <xf numFmtId="20" fontId="3" fillId="0" borderId="0" xfId="0" applyNumberFormat="1" applyFont="1" applyAlignment="1">
      <alignment horizontal="center"/>
    </xf>
    <xf numFmtId="0" fontId="0" fillId="0" borderId="0" xfId="0" quotePrefix="1" applyAlignment="1">
      <alignment vertical="center"/>
    </xf>
    <xf numFmtId="183" fontId="3" fillId="0" borderId="0" xfId="0" quotePrefix="1" applyNumberFormat="1" applyFont="1" applyAlignment="1">
      <alignment horizontal="center"/>
    </xf>
    <xf numFmtId="0" fontId="3" fillId="12" borderId="0" xfId="0" applyFont="1" applyFill="1" applyAlignment="1">
      <alignment horizontal="center"/>
    </xf>
    <xf numFmtId="183" fontId="4" fillId="3" borderId="1" xfId="0" applyNumberFormat="1" applyFont="1" applyFill="1" applyBorder="1" applyAlignment="1">
      <alignment horizontal="left" shrinkToFit="1"/>
    </xf>
    <xf numFmtId="0" fontId="3" fillId="0" borderId="4" xfId="4" applyFont="1" applyBorder="1" applyAlignment="1">
      <alignment horizontal="left" vertical="center"/>
    </xf>
    <xf numFmtId="0" fontId="6" fillId="8" borderId="1" xfId="1" quotePrefix="1" applyFill="1" applyBorder="1" applyAlignment="1">
      <alignment horizontal="center"/>
    </xf>
  </cellXfs>
  <cellStyles count="8">
    <cellStyle name="パーセント" xfId="7" builtinId="5"/>
    <cellStyle name="ハイパーリンク" xfId="1" builtinId="8"/>
    <cellStyle name="桁区切り" xfId="2" builtinId="6"/>
    <cellStyle name="通貨" xfId="6" builtinId="7"/>
    <cellStyle name="標準" xfId="0" builtinId="0"/>
    <cellStyle name="標準 2" xfId="4"/>
    <cellStyle name="標準 3" xfId="3"/>
    <cellStyle name="標準 4" xfId="5"/>
  </cellStyles>
  <dxfs count="51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Medium9"/>
  <colors>
    <mruColors>
      <color rgb="FFFF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229257</xdr:colOff>
      <xdr:row>107</xdr:row>
      <xdr:rowOff>134102</xdr:rowOff>
    </xdr:from>
    <xdr:to>
      <xdr:col>22</xdr:col>
      <xdr:colOff>3190</xdr:colOff>
      <xdr:row>145</xdr:row>
      <xdr:rowOff>47439</xdr:rowOff>
    </xdr:to>
    <xdr:pic>
      <xdr:nvPicPr>
        <xdr:cNvPr id="6" name="図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94043" y="21973566"/>
          <a:ext cx="5720255" cy="7669409"/>
        </a:xfrm>
        <a:prstGeom prst="rect">
          <a:avLst/>
        </a:prstGeom>
      </xdr:spPr>
    </xdr:pic>
    <xdr:clientData/>
  </xdr:twoCellAnchor>
  <xdr:twoCellAnchor editAs="oneCell">
    <xdr:from>
      <xdr:col>0</xdr:col>
      <xdr:colOff>535888</xdr:colOff>
      <xdr:row>130</xdr:row>
      <xdr:rowOff>38474</xdr:rowOff>
    </xdr:from>
    <xdr:to>
      <xdr:col>15</xdr:col>
      <xdr:colOff>589316</xdr:colOff>
      <xdr:row>140</xdr:row>
      <xdr:rowOff>39735</xdr:rowOff>
    </xdr:to>
    <xdr:pic>
      <xdr:nvPicPr>
        <xdr:cNvPr id="3" name="図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5888" y="26572403"/>
          <a:ext cx="5964137" cy="20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612322</xdr:colOff>
      <xdr:row>107</xdr:row>
      <xdr:rowOff>192986</xdr:rowOff>
    </xdr:from>
    <xdr:to>
      <xdr:col>18</xdr:col>
      <xdr:colOff>276973</xdr:colOff>
      <xdr:row>125</xdr:row>
      <xdr:rowOff>148476</xdr:rowOff>
    </xdr:to>
    <xdr:pic>
      <xdr:nvPicPr>
        <xdr:cNvPr id="4" name="図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2322" y="22032450"/>
          <a:ext cx="7733687" cy="36294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marketspeed.jp/guide/manual/ms2rss_function.pdf" TargetMode="External"/><Relationship Id="rId1" Type="http://schemas.openxmlformats.org/officeDocument/2006/relationships/hyperlink" Target="https://marketspeed.jp/ms2_rss/onlinehelp/ohm_002/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jpx.co.jp/derivatives/rules/last-trading-da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205"/>
  <sheetViews>
    <sheetView tabSelected="1" topLeftCell="T1" zoomScale="55" zoomScaleNormal="55" workbookViewId="0">
      <selection activeCell="AB57" sqref="AB57"/>
    </sheetView>
  </sheetViews>
  <sheetFormatPr defaultColWidth="8.90625" defaultRowHeight="15" outlineLevelCol="1"/>
  <cols>
    <col min="1" max="1" width="10.453125" style="1" hidden="1" customWidth="1" outlineLevel="1"/>
    <col min="2" max="2" width="13.453125" style="1" hidden="1" customWidth="1" outlineLevel="1"/>
    <col min="3" max="5" width="10.453125" style="1" hidden="1" customWidth="1" outlineLevel="1"/>
    <col min="6" max="7" width="8.90625" style="1" hidden="1" customWidth="1" outlineLevel="1"/>
    <col min="8" max="8" width="8.90625" style="60" hidden="1" customWidth="1" outlineLevel="1"/>
    <col min="9" max="9" width="8.90625" style="1" hidden="1" customWidth="1" outlineLevel="1"/>
    <col min="10" max="10" width="8.90625" style="1" collapsed="1"/>
    <col min="11" max="11" width="9.36328125" style="1" customWidth="1"/>
    <col min="12" max="12" width="18.6328125" style="1" bestFit="1" customWidth="1"/>
    <col min="13" max="14" width="10.7265625" style="1" bestFit="1" customWidth="1"/>
    <col min="15" max="15" width="12.08984375" style="1" bestFit="1" customWidth="1"/>
    <col min="16" max="16" width="10.7265625" style="1" bestFit="1" customWidth="1"/>
    <col min="17" max="17" width="12.7265625" style="1" bestFit="1" customWidth="1"/>
    <col min="18" max="18" width="4" style="1" customWidth="1"/>
    <col min="19" max="25" width="12.7265625" style="1" customWidth="1"/>
    <col min="26" max="26" width="3.26953125" style="1" customWidth="1"/>
    <col min="27" max="27" width="11.6328125" style="1" customWidth="1"/>
    <col min="28" max="28" width="34.36328125" style="18" bestFit="1" customWidth="1"/>
    <col min="29" max="29" width="11" style="1" customWidth="1"/>
    <col min="30" max="30" width="11.453125" style="1" bestFit="1" customWidth="1"/>
    <col min="31" max="31" width="10.7265625" style="1" bestFit="1" customWidth="1"/>
    <col min="32" max="34" width="10.7265625" style="1" customWidth="1"/>
    <col min="35" max="35" width="11.36328125" style="1" customWidth="1"/>
    <col min="36" max="38" width="10.7265625" style="1" customWidth="1"/>
    <col min="39" max="39" width="2.36328125" style="1" customWidth="1"/>
    <col min="40" max="40" width="10.453125" style="1" customWidth="1"/>
    <col min="41" max="42" width="8.90625" style="1"/>
    <col min="43" max="47" width="11.26953125" style="1" customWidth="1"/>
    <col min="48" max="49" width="8.90625" style="1"/>
    <col min="50" max="50" width="10.7265625" style="1" customWidth="1"/>
    <col min="51" max="51" width="11.08984375" style="1" customWidth="1"/>
    <col min="52" max="53" width="8.90625" style="1"/>
    <col min="54" max="54" width="14.26953125" style="1" bestFit="1" customWidth="1"/>
    <col min="55" max="55" width="15.26953125" style="1" bestFit="1" customWidth="1"/>
    <col min="56" max="57" width="8.90625" style="1"/>
    <col min="58" max="58" width="14.26953125" style="1" bestFit="1" customWidth="1"/>
    <col min="59" max="60" width="9.08984375" style="1" customWidth="1"/>
    <col min="61" max="61" width="8.90625" style="1"/>
    <col min="62" max="62" width="14.36328125" style="1" customWidth="1"/>
    <col min="63" max="16384" width="8.90625" style="1"/>
  </cols>
  <sheetData>
    <row r="1" spans="1:68">
      <c r="B1" s="2"/>
      <c r="L1" s="1" t="e" cm="1">
        <f t="array" ref="L1" ca="1">_xll.RssCapacityList(L3)</f>
        <v>#NAME?</v>
      </c>
      <c r="M1" s="133" t="e" cm="1">
        <f t="array" ref="M1" ca="1">_xll.RssFOPCapacityList(M3)</f>
        <v>#NAME?</v>
      </c>
    </row>
    <row r="2" spans="1:68">
      <c r="F2" s="62"/>
      <c r="G2" s="56"/>
      <c r="H2" s="59"/>
      <c r="K2" s="1" t="s">
        <v>67</v>
      </c>
      <c r="O2" s="2" t="s">
        <v>68</v>
      </c>
      <c r="T2" s="2" t="s">
        <v>62</v>
      </c>
      <c r="BA2" s="2" t="s">
        <v>74</v>
      </c>
    </row>
    <row r="3" spans="1:68">
      <c r="H3" s="1"/>
      <c r="K3" s="54"/>
      <c r="L3" s="1" t="s">
        <v>73</v>
      </c>
      <c r="M3" s="1" t="s">
        <v>72</v>
      </c>
      <c r="O3" s="4" t="s">
        <v>34</v>
      </c>
      <c r="P3" s="4" t="str">
        <f>IF(AC41=1,"ON","OFF")</f>
        <v>ON</v>
      </c>
      <c r="T3" s="115" t="s">
        <v>63</v>
      </c>
      <c r="U3" s="4" t="s">
        <v>114</v>
      </c>
      <c r="V3" s="4"/>
      <c r="W3" s="4"/>
      <c r="X3" s="4"/>
      <c r="Y3" s="4"/>
      <c r="BB3" s="1" t="s">
        <v>80</v>
      </c>
      <c r="BJ3" s="1" t="s">
        <v>80</v>
      </c>
    </row>
    <row r="4" spans="1:68">
      <c r="A4" s="6"/>
      <c r="B4" s="6"/>
      <c r="F4" s="62"/>
      <c r="H4" s="61"/>
      <c r="I4" s="57"/>
      <c r="K4" s="54"/>
      <c r="L4" s="138">
        <v>125153</v>
      </c>
      <c r="M4" s="137">
        <v>886.88</v>
      </c>
      <c r="N4" s="3"/>
      <c r="O4" s="4"/>
      <c r="P4" s="4"/>
      <c r="S4" s="4" t="s">
        <v>69</v>
      </c>
      <c r="T4" s="115"/>
      <c r="U4" s="4"/>
      <c r="V4" s="4"/>
      <c r="W4" s="4"/>
      <c r="X4" s="4"/>
      <c r="Y4" s="4"/>
      <c r="Z4" s="126"/>
      <c r="BB4" s="2" t="e" cm="1">
        <f t="array" ref="BB4" ca="1">_xll.RssFOPExecutionList($BB$5:$BF$5, "N225MF", 1)</f>
        <v>#NAME?</v>
      </c>
      <c r="BJ4" s="2" t="e" cm="1">
        <f t="array" ref="BJ4" ca="1">_xll.RssFOPExecutionList($BJ$5:$BN$5, "N225MF", 3)</f>
        <v>#NAME?</v>
      </c>
    </row>
    <row r="5" spans="1:68">
      <c r="A5" s="6"/>
      <c r="B5" s="6"/>
      <c r="F5" s="62"/>
      <c r="H5" s="61"/>
      <c r="I5" s="57"/>
      <c r="K5" s="54"/>
      <c r="L5" s="136" t="s">
        <v>10</v>
      </c>
      <c r="M5" s="3" t="s">
        <v>10</v>
      </c>
      <c r="O5" s="4"/>
      <c r="P5" s="4"/>
      <c r="S5" s="4" t="s">
        <v>64</v>
      </c>
      <c r="T5" s="115">
        <f>SUM(U5:Y5)</f>
        <v>0</v>
      </c>
      <c r="U5" s="4">
        <f>main!BB$33</f>
        <v>0</v>
      </c>
      <c r="V5" s="4"/>
      <c r="W5" s="4"/>
      <c r="X5" s="4"/>
      <c r="Y5" s="4"/>
      <c r="Z5" s="75"/>
      <c r="AD5" s="74"/>
      <c r="BB5" s="1" t="s">
        <v>75</v>
      </c>
      <c r="BC5" s="1" t="s">
        <v>76</v>
      </c>
      <c r="BD5" s="1" t="s">
        <v>77</v>
      </c>
      <c r="BE5" s="1" t="s">
        <v>78</v>
      </c>
      <c r="BF5" s="1" t="s">
        <v>79</v>
      </c>
      <c r="BJ5" s="1" t="s">
        <v>75</v>
      </c>
      <c r="BK5" s="1" t="s">
        <v>76</v>
      </c>
      <c r="BL5" s="1" t="s">
        <v>77</v>
      </c>
      <c r="BM5" s="1" t="s">
        <v>78</v>
      </c>
      <c r="BN5" s="1" t="s">
        <v>79</v>
      </c>
    </row>
    <row r="6" spans="1:68">
      <c r="A6" s="6"/>
      <c r="B6" s="6"/>
      <c r="F6" s="62"/>
      <c r="H6" s="61"/>
      <c r="I6" s="57"/>
      <c r="K6" s="54"/>
      <c r="O6" s="4"/>
      <c r="P6" s="4"/>
      <c r="S6" s="4" t="s">
        <v>65</v>
      </c>
      <c r="T6" s="115">
        <f>SUM(U6:Y6)</f>
        <v>0</v>
      </c>
      <c r="U6" s="4">
        <f>main!BD$33</f>
        <v>0</v>
      </c>
      <c r="V6" s="4"/>
      <c r="W6" s="4"/>
      <c r="X6" s="4"/>
      <c r="Y6" s="4"/>
      <c r="Z6" s="75"/>
      <c r="BB6" s="3" t="s">
        <v>100</v>
      </c>
      <c r="BC6" s="3">
        <v>168090019</v>
      </c>
      <c r="BD6" s="3" t="s">
        <v>86</v>
      </c>
      <c r="BE6" s="3">
        <v>1</v>
      </c>
      <c r="BF6" s="3">
        <v>33505</v>
      </c>
      <c r="BG6" s="3"/>
      <c r="BH6" s="3"/>
      <c r="BJ6" s="3" t="s">
        <v>101</v>
      </c>
      <c r="BK6" s="3">
        <v>168090019</v>
      </c>
      <c r="BL6" s="3" t="s">
        <v>87</v>
      </c>
      <c r="BM6" s="3">
        <v>1</v>
      </c>
      <c r="BN6" s="3">
        <v>33415</v>
      </c>
    </row>
    <row r="7" spans="1:68">
      <c r="A7" s="6"/>
      <c r="B7" s="6"/>
      <c r="F7" s="62"/>
      <c r="H7" s="61"/>
      <c r="I7" s="57"/>
      <c r="O7" s="4"/>
      <c r="P7" s="4"/>
      <c r="Z7" s="75"/>
      <c r="BB7" s="3" t="s">
        <v>111</v>
      </c>
      <c r="BC7" s="3">
        <v>168090019</v>
      </c>
      <c r="BD7" s="3" t="s">
        <v>86</v>
      </c>
      <c r="BE7" s="3">
        <v>1</v>
      </c>
      <c r="BF7" s="3">
        <v>32530</v>
      </c>
      <c r="BJ7" s="3" t="s">
        <v>102</v>
      </c>
      <c r="BK7" s="3">
        <v>168090019</v>
      </c>
      <c r="BL7" s="3" t="s">
        <v>87</v>
      </c>
      <c r="BM7" s="3">
        <v>1</v>
      </c>
      <c r="BN7" s="3">
        <v>33390</v>
      </c>
    </row>
    <row r="8" spans="1:68">
      <c r="A8" s="6"/>
      <c r="B8" s="6"/>
      <c r="F8" s="62"/>
      <c r="G8" s="9"/>
      <c r="H8" s="61"/>
      <c r="I8" s="57"/>
      <c r="Z8" s="75"/>
      <c r="BB8" s="3" t="s">
        <v>112</v>
      </c>
      <c r="BC8" s="3">
        <v>168090019</v>
      </c>
      <c r="BD8" s="3" t="s">
        <v>86</v>
      </c>
      <c r="BE8" s="3">
        <v>1</v>
      </c>
      <c r="BF8" s="3">
        <v>32585</v>
      </c>
      <c r="BJ8" s="3" t="s">
        <v>103</v>
      </c>
      <c r="BK8" s="3">
        <v>168090019</v>
      </c>
      <c r="BL8" s="3" t="s">
        <v>87</v>
      </c>
      <c r="BM8" s="3">
        <v>1</v>
      </c>
      <c r="BN8" s="3">
        <v>33285</v>
      </c>
    </row>
    <row r="9" spans="1:68">
      <c r="A9" s="6"/>
      <c r="B9" s="6"/>
      <c r="F9" s="62"/>
      <c r="G9" s="9"/>
      <c r="H9" s="61"/>
      <c r="I9" s="57"/>
      <c r="K9" s="4" t="s">
        <v>9</v>
      </c>
      <c r="L9" s="19" t="s">
        <v>11</v>
      </c>
      <c r="M9" s="125" t="str">
        <f ca="1">IFERROR(VLOOKUP(1,RSIday!AW2:AY41,3,FALSE),"コードエラー")</f>
        <v>コードエラー</v>
      </c>
      <c r="N9" s="52" t="str">
        <f ca="1">IF(TODAY()+75 &gt;MAX(RSIday!AU:AU),"取引最終日データ追加してください","-")</f>
        <v>-</v>
      </c>
      <c r="Z9" s="75"/>
      <c r="BB9" s="3" t="s">
        <v>113</v>
      </c>
      <c r="BC9" s="3">
        <v>168090019</v>
      </c>
      <c r="BD9" s="3" t="s">
        <v>86</v>
      </c>
      <c r="BE9" s="3">
        <v>1</v>
      </c>
      <c r="BF9" s="3">
        <v>32700</v>
      </c>
      <c r="BJ9" s="3" t="s">
        <v>104</v>
      </c>
      <c r="BK9" s="3">
        <v>168090019</v>
      </c>
      <c r="BL9" s="3" t="s">
        <v>87</v>
      </c>
      <c r="BM9" s="3">
        <v>1</v>
      </c>
      <c r="BN9" s="3">
        <v>33200</v>
      </c>
    </row>
    <row r="10" spans="1:68">
      <c r="A10" s="6"/>
      <c r="B10" s="6"/>
      <c r="F10" s="62"/>
      <c r="G10" s="9"/>
      <c r="H10" s="61"/>
      <c r="I10" s="57"/>
      <c r="K10" s="4" t="s">
        <v>2</v>
      </c>
      <c r="L10" s="19"/>
      <c r="M10" s="146" t="str">
        <f ca="1">M9</f>
        <v>コードエラー</v>
      </c>
      <c r="V10" s="134"/>
      <c r="Z10" s="75"/>
      <c r="BB10" s="3" t="s">
        <v>10</v>
      </c>
      <c r="BC10" s="3" t="s">
        <v>10</v>
      </c>
      <c r="BD10" s="3" t="s">
        <v>10</v>
      </c>
      <c r="BE10" s="3" t="s">
        <v>10</v>
      </c>
      <c r="BF10" s="3" t="s">
        <v>10</v>
      </c>
      <c r="BJ10" s="3" t="s">
        <v>105</v>
      </c>
      <c r="BK10" s="3">
        <v>168090019</v>
      </c>
      <c r="BL10" s="3" t="s">
        <v>87</v>
      </c>
      <c r="BM10" s="3">
        <v>1</v>
      </c>
      <c r="BN10" s="3">
        <v>32910</v>
      </c>
    </row>
    <row r="11" spans="1:68">
      <c r="A11" s="6"/>
      <c r="B11" s="6"/>
      <c r="F11" s="62"/>
      <c r="G11" s="9"/>
      <c r="H11" s="61"/>
      <c r="I11" s="57"/>
      <c r="K11" s="4"/>
      <c r="L11" s="19"/>
      <c r="M11" s="146"/>
      <c r="U11" s="135"/>
      <c r="V11" s="135"/>
      <c r="Z11" s="75"/>
      <c r="BB11" s="3" t="s">
        <v>94</v>
      </c>
      <c r="BC11" s="3">
        <v>168090019</v>
      </c>
      <c r="BD11" s="3" t="s">
        <v>86</v>
      </c>
      <c r="BE11" s="3">
        <v>1</v>
      </c>
      <c r="BF11" s="3">
        <v>33495</v>
      </c>
      <c r="BJ11" s="3" t="s">
        <v>105</v>
      </c>
      <c r="BK11" s="3">
        <v>168090019</v>
      </c>
      <c r="BL11" s="3" t="s">
        <v>87</v>
      </c>
      <c r="BM11" s="3">
        <v>1</v>
      </c>
      <c r="BN11" s="3">
        <v>32910</v>
      </c>
    </row>
    <row r="12" spans="1:68">
      <c r="A12" s="6"/>
      <c r="B12" s="6"/>
      <c r="F12" s="62"/>
      <c r="G12" s="9"/>
      <c r="H12" s="61"/>
      <c r="I12" s="57"/>
      <c r="L12" s="1" t="s">
        <v>90</v>
      </c>
      <c r="M12" s="145" t="s">
        <v>84</v>
      </c>
      <c r="O12" s="138"/>
      <c r="U12" s="134"/>
      <c r="Z12" s="75"/>
      <c r="BB12" s="11" t="s">
        <v>95</v>
      </c>
      <c r="BC12" s="3">
        <v>168090019</v>
      </c>
      <c r="BD12" s="3" t="s">
        <v>86</v>
      </c>
      <c r="BE12" s="3">
        <v>1</v>
      </c>
      <c r="BF12" s="3">
        <v>33240</v>
      </c>
      <c r="BJ12" s="11" t="s">
        <v>106</v>
      </c>
      <c r="BK12" s="3">
        <v>168090019</v>
      </c>
      <c r="BL12" s="3" t="s">
        <v>87</v>
      </c>
      <c r="BM12" s="3">
        <v>1</v>
      </c>
      <c r="BN12" s="3">
        <v>32750</v>
      </c>
    </row>
    <row r="13" spans="1:68">
      <c r="A13" s="6"/>
      <c r="B13" s="6"/>
      <c r="C13" s="3"/>
      <c r="D13" s="3"/>
      <c r="E13" s="3"/>
      <c r="F13" s="62"/>
      <c r="G13" s="9"/>
      <c r="H13" s="61"/>
      <c r="I13" s="57"/>
      <c r="M13" s="145" t="s">
        <v>89</v>
      </c>
      <c r="O13" s="3"/>
      <c r="Z13" s="75"/>
      <c r="BB13" s="3" t="s">
        <v>96</v>
      </c>
      <c r="BC13" s="3">
        <v>168090019</v>
      </c>
      <c r="BD13" s="3" t="s">
        <v>86</v>
      </c>
      <c r="BE13" s="3">
        <v>1</v>
      </c>
      <c r="BF13" s="3">
        <v>33210</v>
      </c>
      <c r="BG13" s="1" t="s">
        <v>81</v>
      </c>
      <c r="BH13" s="1" t="s">
        <v>82</v>
      </c>
      <c r="BJ13" s="3" t="s">
        <v>106</v>
      </c>
      <c r="BK13" s="3">
        <v>168090019</v>
      </c>
      <c r="BL13" s="3" t="s">
        <v>87</v>
      </c>
      <c r="BM13" s="3">
        <v>1</v>
      </c>
      <c r="BN13" s="3">
        <v>32750</v>
      </c>
      <c r="BO13" s="1" t="s">
        <v>81</v>
      </c>
      <c r="BP13" s="1" t="s">
        <v>82</v>
      </c>
    </row>
    <row r="14" spans="1:68">
      <c r="A14" s="6"/>
      <c r="B14" s="7"/>
      <c r="C14" s="3"/>
      <c r="D14" s="3"/>
      <c r="E14" s="3"/>
      <c r="F14" s="63"/>
      <c r="G14" s="9"/>
      <c r="H14" s="61"/>
      <c r="I14" s="57"/>
      <c r="Z14" s="75"/>
      <c r="BB14" s="3" t="s">
        <v>97</v>
      </c>
      <c r="BC14" s="3">
        <v>168090019</v>
      </c>
      <c r="BD14" s="3" t="s">
        <v>86</v>
      </c>
      <c r="BE14" s="3">
        <v>1</v>
      </c>
      <c r="BF14" s="3">
        <v>33180</v>
      </c>
      <c r="BG14" s="3" t="s">
        <v>10</v>
      </c>
      <c r="BH14" s="3" t="s">
        <v>10</v>
      </c>
      <c r="BJ14" s="144" t="s">
        <v>107</v>
      </c>
      <c r="BK14" s="3">
        <v>168090019</v>
      </c>
      <c r="BL14" s="3" t="s">
        <v>87</v>
      </c>
      <c r="BM14" s="3">
        <v>1</v>
      </c>
      <c r="BN14" s="3">
        <v>32440</v>
      </c>
      <c r="BO14" s="3">
        <v>33395</v>
      </c>
      <c r="BP14" s="3" t="s">
        <v>88</v>
      </c>
    </row>
    <row r="15" spans="1:68">
      <c r="A15" s="6"/>
      <c r="B15" s="6"/>
      <c r="F15" s="62"/>
      <c r="G15" s="9"/>
      <c r="H15" s="61"/>
      <c r="I15" s="57"/>
      <c r="BB15" s="3" t="s">
        <v>97</v>
      </c>
      <c r="BC15" s="3">
        <v>168090019</v>
      </c>
      <c r="BD15" s="3" t="s">
        <v>86</v>
      </c>
      <c r="BE15" s="3">
        <v>1</v>
      </c>
      <c r="BF15" s="3">
        <v>33180</v>
      </c>
      <c r="BJ15" s="144" t="s">
        <v>108</v>
      </c>
      <c r="BK15" s="3">
        <v>168090019</v>
      </c>
      <c r="BL15" s="3" t="s">
        <v>87</v>
      </c>
      <c r="BM15" s="3">
        <v>1</v>
      </c>
      <c r="BN15" s="3">
        <v>32410</v>
      </c>
      <c r="BO15" s="3">
        <v>33365</v>
      </c>
      <c r="BP15" s="3" t="s">
        <v>88</v>
      </c>
    </row>
    <row r="16" spans="1:68">
      <c r="A16" s="6"/>
      <c r="B16" s="6"/>
      <c r="F16" s="62"/>
      <c r="G16" s="9"/>
      <c r="H16" s="61"/>
      <c r="I16" s="57"/>
      <c r="K16" s="1" t="s">
        <v>37</v>
      </c>
      <c r="S16" s="1" t="s">
        <v>38</v>
      </c>
      <c r="BB16" s="3" t="s">
        <v>98</v>
      </c>
      <c r="BC16" s="3">
        <v>168090019</v>
      </c>
      <c r="BD16" s="3" t="s">
        <v>86</v>
      </c>
      <c r="BE16" s="3">
        <v>1</v>
      </c>
      <c r="BF16" s="3">
        <v>33410</v>
      </c>
      <c r="BJ16" s="144" t="s">
        <v>108</v>
      </c>
      <c r="BK16" s="3">
        <v>168090019</v>
      </c>
      <c r="BL16" s="3" t="s">
        <v>87</v>
      </c>
      <c r="BM16" s="3">
        <v>1</v>
      </c>
      <c r="BN16" s="3">
        <v>32410</v>
      </c>
      <c r="BO16" s="3">
        <v>33400</v>
      </c>
      <c r="BP16" s="3" t="s">
        <v>88</v>
      </c>
    </row>
    <row r="17" spans="1:68">
      <c r="A17" s="6"/>
      <c r="B17" s="6"/>
      <c r="F17" s="62"/>
      <c r="G17" s="9"/>
      <c r="H17" s="61"/>
      <c r="I17" s="57"/>
      <c r="K17" s="2" t="e" cm="1">
        <f t="array" ref="K17" ca="1">_xll.RssFOPPositionList(K18:P18,"N225MF",1)</f>
        <v>#NAME?</v>
      </c>
      <c r="S17" s="2" t="e">
        <f ca="1">_xll.RssFOPPositionList(S18:X18,"N225MF",3)</f>
        <v>#NAME?</v>
      </c>
      <c r="BB17" s="3" t="s">
        <v>99</v>
      </c>
      <c r="BC17" s="3">
        <v>168090019</v>
      </c>
      <c r="BD17" s="3" t="s">
        <v>86</v>
      </c>
      <c r="BE17" s="3">
        <v>1</v>
      </c>
      <c r="BF17" s="3">
        <v>33480</v>
      </c>
      <c r="BJ17" s="144" t="s">
        <v>108</v>
      </c>
      <c r="BK17" s="3">
        <v>168090019</v>
      </c>
      <c r="BL17" s="3" t="s">
        <v>87</v>
      </c>
      <c r="BM17" s="3">
        <v>1</v>
      </c>
      <c r="BN17" s="3">
        <v>32410</v>
      </c>
      <c r="BO17" s="3">
        <v>33440</v>
      </c>
      <c r="BP17" s="3" t="s">
        <v>88</v>
      </c>
    </row>
    <row r="18" spans="1:68">
      <c r="A18" s="6"/>
      <c r="B18" s="6"/>
      <c r="F18" s="62"/>
      <c r="G18" s="9"/>
      <c r="H18" s="61"/>
      <c r="I18" s="57"/>
      <c r="K18" s="4" t="s">
        <v>11</v>
      </c>
      <c r="L18" s="4" t="s">
        <v>33</v>
      </c>
      <c r="M18" s="4" t="s">
        <v>34</v>
      </c>
      <c r="N18" s="77" t="s">
        <v>35</v>
      </c>
      <c r="O18" s="4" t="s">
        <v>36</v>
      </c>
      <c r="P18" s="77" t="s">
        <v>39</v>
      </c>
      <c r="Q18" s="112"/>
      <c r="R18" s="75"/>
      <c r="S18" s="4" t="s">
        <v>11</v>
      </c>
      <c r="T18" s="4" t="s">
        <v>33</v>
      </c>
      <c r="U18" s="4" t="s">
        <v>34</v>
      </c>
      <c r="V18" s="77" t="s">
        <v>35</v>
      </c>
      <c r="W18" s="4" t="s">
        <v>36</v>
      </c>
      <c r="X18" s="77" t="s">
        <v>39</v>
      </c>
      <c r="Y18" s="112"/>
      <c r="Z18" s="126"/>
      <c r="BB18" s="3" t="s">
        <v>10</v>
      </c>
      <c r="BC18" s="3" t="s">
        <v>10</v>
      </c>
      <c r="BD18" s="3" t="s">
        <v>10</v>
      </c>
      <c r="BE18" s="3" t="s">
        <v>10</v>
      </c>
      <c r="BF18" s="3" t="s">
        <v>10</v>
      </c>
      <c r="BJ18" s="144" t="s">
        <v>109</v>
      </c>
      <c r="BK18" s="3">
        <v>168090019</v>
      </c>
      <c r="BL18" s="3" t="s">
        <v>87</v>
      </c>
      <c r="BM18" s="3">
        <v>1</v>
      </c>
      <c r="BN18" s="3">
        <v>32400</v>
      </c>
      <c r="BO18" s="3">
        <v>33665</v>
      </c>
      <c r="BP18" s="3" t="s">
        <v>88</v>
      </c>
    </row>
    <row r="19" spans="1:68">
      <c r="A19" s="6"/>
      <c r="B19" s="7"/>
      <c r="C19" s="3"/>
      <c r="D19" s="3"/>
      <c r="E19" s="3"/>
      <c r="F19" s="63"/>
      <c r="G19" s="9"/>
      <c r="H19" s="61"/>
      <c r="I19" s="57"/>
      <c r="K19" s="55"/>
      <c r="L19" s="55" t="s">
        <v>92</v>
      </c>
      <c r="M19" s="55" t="s">
        <v>91</v>
      </c>
      <c r="N19" s="81"/>
      <c r="O19" s="55">
        <v>1</v>
      </c>
      <c r="P19" s="81">
        <v>32530</v>
      </c>
      <c r="Q19" s="75"/>
      <c r="R19" s="75"/>
      <c r="S19" s="55"/>
      <c r="T19" s="55" t="s">
        <v>92</v>
      </c>
      <c r="U19" s="55" t="s">
        <v>93</v>
      </c>
      <c r="V19" s="81"/>
      <c r="W19" s="55">
        <v>1</v>
      </c>
      <c r="X19" s="81">
        <v>33515</v>
      </c>
      <c r="Y19" s="75"/>
      <c r="Z19" s="75"/>
      <c r="BJ19" s="144" t="s">
        <v>110</v>
      </c>
      <c r="BK19" s="3">
        <v>168090019</v>
      </c>
      <c r="BL19" s="3" t="s">
        <v>87</v>
      </c>
      <c r="BM19" s="3">
        <v>1</v>
      </c>
      <c r="BN19" s="3">
        <v>32390</v>
      </c>
      <c r="BO19" s="3">
        <v>33605</v>
      </c>
      <c r="BP19" s="3" t="s">
        <v>88</v>
      </c>
    </row>
    <row r="20" spans="1:68">
      <c r="A20" s="6"/>
      <c r="B20" s="6"/>
      <c r="F20" s="62"/>
      <c r="G20" s="9"/>
      <c r="H20" s="61"/>
      <c r="I20" s="57"/>
      <c r="K20" s="55"/>
      <c r="L20" s="55" t="s">
        <v>92</v>
      </c>
      <c r="M20" s="55" t="s">
        <v>91</v>
      </c>
      <c r="N20" s="81"/>
      <c r="O20" s="55">
        <v>1</v>
      </c>
      <c r="P20" s="81">
        <v>32585</v>
      </c>
      <c r="Q20" s="75"/>
      <c r="R20" s="75"/>
      <c r="S20" s="55"/>
      <c r="T20" s="55" t="s">
        <v>92</v>
      </c>
      <c r="U20" s="55" t="s">
        <v>93</v>
      </c>
      <c r="V20" s="81"/>
      <c r="W20" s="55">
        <v>1</v>
      </c>
      <c r="X20" s="81">
        <v>32910</v>
      </c>
      <c r="Y20" s="75"/>
      <c r="Z20" s="75"/>
      <c r="AA20" s="16" t="s">
        <v>7</v>
      </c>
      <c r="AJ20" s="141"/>
      <c r="BJ20" s="3" t="s">
        <v>10</v>
      </c>
      <c r="BK20" s="3" t="s">
        <v>10</v>
      </c>
      <c r="BL20" s="3" t="s">
        <v>10</v>
      </c>
      <c r="BM20" s="3" t="s">
        <v>10</v>
      </c>
      <c r="BN20" s="3" t="s">
        <v>10</v>
      </c>
      <c r="BO20" s="3" t="s">
        <v>10</v>
      </c>
      <c r="BP20" s="3" t="s">
        <v>10</v>
      </c>
    </row>
    <row r="21" spans="1:68">
      <c r="A21" s="6"/>
      <c r="B21" s="6"/>
      <c r="F21" s="62"/>
      <c r="G21" s="9"/>
      <c r="H21" s="61"/>
      <c r="I21" s="57"/>
      <c r="K21" s="55" t="s">
        <v>85</v>
      </c>
      <c r="L21" s="55" t="s">
        <v>85</v>
      </c>
      <c r="M21" s="55" t="s">
        <v>85</v>
      </c>
      <c r="N21" s="81" t="s">
        <v>85</v>
      </c>
      <c r="O21" s="55" t="s">
        <v>85</v>
      </c>
      <c r="P21" s="81" t="s">
        <v>85</v>
      </c>
      <c r="Q21" s="75"/>
      <c r="S21" s="55"/>
      <c r="T21" s="55" t="s">
        <v>92</v>
      </c>
      <c r="U21" s="55" t="s">
        <v>93</v>
      </c>
      <c r="V21" s="81"/>
      <c r="W21" s="55">
        <v>1</v>
      </c>
      <c r="X21" s="81">
        <v>32910</v>
      </c>
      <c r="Y21" s="75"/>
      <c r="Z21" s="75"/>
      <c r="AA21" s="17" t="s">
        <v>5</v>
      </c>
      <c r="AJ21" s="142"/>
      <c r="AK21" s="50"/>
    </row>
    <row r="22" spans="1:68">
      <c r="A22" s="6"/>
      <c r="B22" s="6"/>
      <c r="F22" s="62"/>
      <c r="G22" s="9"/>
      <c r="H22" s="61"/>
      <c r="I22" s="57"/>
      <c r="K22" s="55"/>
      <c r="L22" s="55"/>
      <c r="M22" s="55"/>
      <c r="N22" s="81"/>
      <c r="O22" s="55"/>
      <c r="P22" s="81"/>
      <c r="Q22" s="75"/>
      <c r="R22" s="75"/>
      <c r="S22" s="55" t="s">
        <v>85</v>
      </c>
      <c r="T22" s="55" t="s">
        <v>85</v>
      </c>
      <c r="U22" s="55" t="s">
        <v>85</v>
      </c>
      <c r="V22" s="81" t="s">
        <v>85</v>
      </c>
      <c r="W22" s="55" t="s">
        <v>85</v>
      </c>
      <c r="X22" s="81" t="s">
        <v>85</v>
      </c>
      <c r="Y22" s="75"/>
      <c r="Z22" s="75"/>
      <c r="AA22" s="16" t="s">
        <v>8</v>
      </c>
      <c r="AJ22" s="142"/>
      <c r="AK22" s="50"/>
    </row>
    <row r="23" spans="1:68">
      <c r="A23" s="6"/>
      <c r="B23" s="6"/>
      <c r="F23" s="62"/>
      <c r="G23" s="9"/>
      <c r="H23" s="61"/>
      <c r="I23" s="57"/>
      <c r="K23" s="55"/>
      <c r="L23" s="55"/>
      <c r="M23" s="55"/>
      <c r="N23" s="81"/>
      <c r="O23" s="55"/>
      <c r="P23" s="81"/>
      <c r="Q23" s="75"/>
      <c r="R23" s="75"/>
      <c r="S23" s="55"/>
      <c r="T23" s="55"/>
      <c r="U23" s="55"/>
      <c r="V23" s="81"/>
      <c r="W23" s="55"/>
      <c r="X23" s="81"/>
      <c r="Y23" s="75"/>
      <c r="Z23" s="75"/>
      <c r="AA23" s="67" t="s">
        <v>6</v>
      </c>
    </row>
    <row r="24" spans="1:68">
      <c r="A24" s="6"/>
      <c r="B24" s="6"/>
      <c r="F24" s="62"/>
      <c r="G24" s="9"/>
      <c r="H24" s="61"/>
      <c r="I24" s="57"/>
      <c r="K24" s="55"/>
      <c r="L24" s="55"/>
      <c r="M24" s="55"/>
      <c r="N24" s="81"/>
      <c r="O24" s="55"/>
      <c r="P24" s="81"/>
      <c r="Q24" s="75"/>
      <c r="R24" s="75"/>
      <c r="S24" s="55"/>
      <c r="T24" s="55"/>
      <c r="U24" s="55"/>
      <c r="V24" s="81"/>
      <c r="W24" s="55"/>
      <c r="X24" s="148"/>
      <c r="Y24" s="75"/>
      <c r="Z24" s="75"/>
    </row>
    <row r="25" spans="1:68">
      <c r="A25" s="6"/>
      <c r="B25" s="6"/>
      <c r="F25" s="62"/>
      <c r="G25" s="9"/>
      <c r="H25" s="61"/>
      <c r="I25" s="57"/>
      <c r="K25" s="55"/>
      <c r="L25" s="55"/>
      <c r="M25" s="55"/>
      <c r="N25" s="81"/>
      <c r="O25" s="55"/>
      <c r="P25" s="81"/>
      <c r="Q25" s="75"/>
      <c r="R25" s="75"/>
      <c r="S25" s="55"/>
      <c r="T25" s="55"/>
      <c r="U25" s="55"/>
      <c r="V25" s="81"/>
      <c r="W25" s="55"/>
      <c r="X25" s="81"/>
      <c r="Y25" s="75"/>
      <c r="Z25" s="75"/>
      <c r="AA25" s="2" t="s">
        <v>24</v>
      </c>
    </row>
    <row r="26" spans="1:68">
      <c r="A26" s="6"/>
      <c r="B26" s="6"/>
      <c r="F26" s="62"/>
      <c r="G26" s="9"/>
      <c r="H26" s="61"/>
      <c r="I26" s="57"/>
      <c r="K26" s="55"/>
      <c r="L26" s="55"/>
      <c r="M26" s="55"/>
      <c r="N26" s="81"/>
      <c r="O26" s="55"/>
      <c r="P26" s="81"/>
      <c r="Q26" s="75"/>
      <c r="R26" s="75"/>
      <c r="S26" s="55"/>
      <c r="T26" s="55"/>
      <c r="U26" s="55"/>
      <c r="V26" s="81"/>
      <c r="W26" s="55"/>
      <c r="X26" s="81"/>
      <c r="Y26" s="75"/>
      <c r="Z26" s="75"/>
      <c r="AA26" s="4" t="s">
        <v>19</v>
      </c>
      <c r="AB26" s="21" t="s">
        <v>18</v>
      </c>
      <c r="AC26" s="2"/>
    </row>
    <row r="27" spans="1:68">
      <c r="A27" s="6"/>
      <c r="B27" s="6"/>
      <c r="F27" s="62"/>
      <c r="G27" s="9"/>
      <c r="H27" s="61"/>
      <c r="I27" s="57"/>
      <c r="K27" s="4"/>
      <c r="L27" s="4"/>
      <c r="M27" s="4"/>
      <c r="N27" s="77"/>
      <c r="O27" s="4"/>
      <c r="P27" s="77"/>
      <c r="Q27" s="75"/>
      <c r="R27" s="75"/>
      <c r="S27" s="55"/>
      <c r="T27" s="55"/>
      <c r="U27" s="55"/>
      <c r="V27" s="81"/>
      <c r="W27" s="55"/>
      <c r="X27" s="81"/>
      <c r="Y27" s="75"/>
      <c r="Z27" s="75"/>
      <c r="AA27" s="4" t="s">
        <v>17</v>
      </c>
      <c r="AB27" s="21">
        <f ca="1">IFERROR(VLOOKUP(1,RSIday!AW2:AY41,2,FALSE),"コードエラー")</f>
        <v>202312</v>
      </c>
    </row>
    <row r="28" spans="1:68">
      <c r="A28" s="6"/>
      <c r="B28" s="6"/>
      <c r="C28" s="3"/>
      <c r="D28" s="3"/>
      <c r="E28" s="3"/>
      <c r="F28" s="62"/>
      <c r="G28" s="9"/>
      <c r="H28" s="61"/>
      <c r="I28" s="57"/>
      <c r="K28" s="55"/>
      <c r="L28" s="4"/>
      <c r="M28" s="4"/>
      <c r="N28" s="77"/>
      <c r="O28" s="4"/>
      <c r="P28" s="77"/>
      <c r="Q28" s="75"/>
      <c r="R28" s="75"/>
      <c r="S28" s="4"/>
      <c r="T28" s="4"/>
      <c r="U28" s="4"/>
      <c r="V28" s="77"/>
      <c r="W28" s="4"/>
      <c r="X28" s="77"/>
      <c r="Y28" s="75"/>
      <c r="Z28" s="75"/>
      <c r="AA28" s="4" t="s">
        <v>11</v>
      </c>
      <c r="AB28" s="14" t="e" cm="1">
        <f t="array" aca="1" ref="AB28" ca="1">_xll.RssFOPCode(AB26,AB27)</f>
        <v>#NAME?</v>
      </c>
    </row>
    <row r="29" spans="1:68">
      <c r="A29" s="6"/>
      <c r="B29" s="6"/>
      <c r="F29" s="62"/>
      <c r="G29" s="9"/>
      <c r="H29" s="61"/>
      <c r="I29" s="57"/>
      <c r="K29" s="55"/>
      <c r="L29" s="4"/>
      <c r="M29" s="4"/>
      <c r="N29" s="77"/>
      <c r="O29" s="4"/>
      <c r="P29" s="77"/>
      <c r="Q29" s="75"/>
      <c r="R29" s="75"/>
      <c r="S29" s="4"/>
      <c r="T29" s="4"/>
      <c r="U29" s="4"/>
      <c r="V29" s="77"/>
      <c r="W29" s="4"/>
      <c r="X29" s="77"/>
      <c r="Y29" s="75"/>
    </row>
    <row r="30" spans="1:68">
      <c r="A30" s="6"/>
      <c r="B30" s="6"/>
      <c r="F30" s="62"/>
      <c r="G30" s="9"/>
      <c r="H30" s="61"/>
      <c r="I30" s="57"/>
      <c r="K30" s="55"/>
      <c r="L30" s="4"/>
      <c r="M30" s="4"/>
      <c r="N30" s="77"/>
      <c r="O30" s="4"/>
      <c r="P30" s="77"/>
      <c r="Q30" s="75"/>
      <c r="R30" s="75"/>
      <c r="S30" s="4"/>
      <c r="T30" s="4"/>
      <c r="U30" s="4"/>
      <c r="V30" s="77"/>
      <c r="W30" s="4"/>
      <c r="X30" s="77"/>
      <c r="Y30" s="75"/>
      <c r="Z30" s="127"/>
      <c r="AA30" s="2"/>
      <c r="AD30" s="50"/>
      <c r="AE30" s="2" t="s">
        <v>121</v>
      </c>
      <c r="AN30" s="2" t="s">
        <v>120</v>
      </c>
      <c r="BB30" s="1" t="s">
        <v>115</v>
      </c>
    </row>
    <row r="31" spans="1:68">
      <c r="A31" s="6"/>
      <c r="B31" s="6"/>
      <c r="F31" s="62"/>
      <c r="G31" s="9"/>
      <c r="H31" s="61"/>
      <c r="I31" s="57"/>
      <c r="K31" s="55"/>
      <c r="L31" s="4"/>
      <c r="M31" s="4"/>
      <c r="N31" s="77"/>
      <c r="O31" s="4"/>
      <c r="P31" s="77"/>
      <c r="Q31" s="75"/>
      <c r="R31" s="75"/>
      <c r="S31" s="4"/>
      <c r="T31" s="4"/>
      <c r="U31" s="4"/>
      <c r="V31" s="77"/>
      <c r="W31" s="4"/>
      <c r="X31" s="77"/>
      <c r="Y31" s="75"/>
      <c r="AA31" s="88"/>
      <c r="AB31" s="87"/>
      <c r="AC31" s="95"/>
      <c r="AD31" s="50"/>
      <c r="AE31" s="87" t="s">
        <v>4</v>
      </c>
      <c r="AF31" s="87" t="s">
        <v>16</v>
      </c>
      <c r="AG31" s="87" t="s">
        <v>15</v>
      </c>
      <c r="AH31" s="87"/>
      <c r="AI31" s="89" t="s">
        <v>32</v>
      </c>
      <c r="AJ31" s="87"/>
      <c r="AK31" s="87" t="s">
        <v>22</v>
      </c>
      <c r="AL31" s="87" t="s">
        <v>71</v>
      </c>
      <c r="AM31" s="90"/>
      <c r="AN31" s="87" t="s">
        <v>4</v>
      </c>
      <c r="AO31" s="87" t="s">
        <v>31</v>
      </c>
      <c r="AP31" s="87" t="s">
        <v>15</v>
      </c>
      <c r="AQ31" s="89" t="s">
        <v>32</v>
      </c>
      <c r="AR31" s="87"/>
      <c r="AS31" s="91" t="s">
        <v>40</v>
      </c>
      <c r="AT31" s="87" t="s">
        <v>30</v>
      </c>
      <c r="AU31" s="87" t="s">
        <v>23</v>
      </c>
      <c r="AV31" s="90"/>
      <c r="AW31" s="90"/>
      <c r="AX31" s="90"/>
      <c r="AY31" s="90"/>
    </row>
    <row r="32" spans="1:68">
      <c r="A32" s="3"/>
      <c r="B32" s="3"/>
      <c r="C32" s="3"/>
      <c r="D32" s="3"/>
      <c r="E32" s="3"/>
      <c r="F32" s="63"/>
      <c r="H32" s="61"/>
      <c r="I32" s="57"/>
      <c r="K32" s="55"/>
      <c r="L32" s="4"/>
      <c r="M32" s="4"/>
      <c r="N32" s="77"/>
      <c r="O32" s="4"/>
      <c r="P32" s="77"/>
      <c r="Q32" s="75"/>
      <c r="R32" s="75"/>
      <c r="S32" s="4"/>
      <c r="T32" s="4"/>
      <c r="U32" s="4"/>
      <c r="V32" s="77"/>
      <c r="W32" s="4"/>
      <c r="X32" s="77"/>
      <c r="Y32" s="75"/>
      <c r="AA32" s="88"/>
      <c r="AB32" s="87"/>
      <c r="AC32" s="95"/>
      <c r="AD32" s="50"/>
      <c r="AE32" s="92" t="s">
        <v>3</v>
      </c>
      <c r="AF32" s="88" t="s">
        <v>13</v>
      </c>
      <c r="AG32" s="88" t="s">
        <v>14</v>
      </c>
      <c r="AH32" s="88" t="s">
        <v>21</v>
      </c>
      <c r="AI32" s="89" t="s">
        <v>70</v>
      </c>
      <c r="AJ32" s="93" t="s">
        <v>12</v>
      </c>
      <c r="AK32" s="88" t="s">
        <v>25</v>
      </c>
      <c r="AL32" s="88" t="s">
        <v>26</v>
      </c>
      <c r="AM32" s="90"/>
      <c r="AN32" s="92" t="s">
        <v>3</v>
      </c>
      <c r="AO32" s="88" t="s">
        <v>13</v>
      </c>
      <c r="AP32" s="88" t="s">
        <v>14</v>
      </c>
      <c r="AQ32" s="89" t="s">
        <v>70</v>
      </c>
      <c r="AR32" s="93" t="s">
        <v>12</v>
      </c>
      <c r="AS32" s="94" t="s">
        <v>27</v>
      </c>
      <c r="AT32" s="88" t="s">
        <v>25</v>
      </c>
      <c r="AU32" s="88" t="s">
        <v>26</v>
      </c>
      <c r="AV32" s="90"/>
      <c r="AW32" s="88" t="s">
        <v>21</v>
      </c>
      <c r="AX32" s="88" t="s">
        <v>55</v>
      </c>
      <c r="AY32" s="88" t="s">
        <v>59</v>
      </c>
      <c r="BB32" s="1" t="s">
        <v>116</v>
      </c>
      <c r="BC32" s="1" t="s">
        <v>117</v>
      </c>
      <c r="BD32" s="1" t="s">
        <v>118</v>
      </c>
      <c r="BE32" s="1" t="s">
        <v>119</v>
      </c>
    </row>
    <row r="33" spans="1:57">
      <c r="F33" s="62"/>
      <c r="H33" s="61"/>
      <c r="I33" s="57"/>
      <c r="K33" s="55"/>
      <c r="L33" s="4"/>
      <c r="M33" s="4"/>
      <c r="N33" s="77"/>
      <c r="O33" s="4"/>
      <c r="P33" s="77"/>
      <c r="Q33" s="75"/>
      <c r="R33" s="75"/>
      <c r="S33" s="4"/>
      <c r="T33" s="4"/>
      <c r="U33" s="4"/>
      <c r="V33" s="77"/>
      <c r="W33" s="4"/>
      <c r="X33" s="77"/>
      <c r="Y33" s="75"/>
      <c r="AA33" s="88"/>
      <c r="AB33" s="87"/>
      <c r="AC33" s="117"/>
      <c r="AE33" s="95">
        <v>1</v>
      </c>
      <c r="AF33" s="96">
        <v>1</v>
      </c>
      <c r="AG33" s="96">
        <v>1</v>
      </c>
      <c r="AH33" s="88">
        <v>1</v>
      </c>
      <c r="AI33" s="97" t="e">
        <f ca="1">_xll.RssFOPOpenOrder(AE33,AJ33,$M$9,AF33,0,$AC$40,0,,2,AG33)</f>
        <v>#NAME?</v>
      </c>
      <c r="AJ33" s="98">
        <f ca="1">IF(AND(AK33=1,AL33=1,AC$41=1),1,0)</f>
        <v>0</v>
      </c>
      <c r="AK33" s="88">
        <f>IF(AND(main!BB$33=main!AH33,main!BC$33=1),1,0)</f>
        <v>0</v>
      </c>
      <c r="AL33" s="88">
        <f ca="1">IF(AND(0.6319&lt;=(NOW()-TODAY()),(NOW()-TODAY())&lt;=0.6368),1,0)</f>
        <v>0</v>
      </c>
      <c r="AM33" s="90"/>
      <c r="AN33" s="95">
        <v>101</v>
      </c>
      <c r="AO33" s="96">
        <v>3</v>
      </c>
      <c r="AP33" s="96">
        <v>1</v>
      </c>
      <c r="AQ33" s="97" t="e">
        <f ca="1">_xll.RssFOPCloseOrder(AN33,AR33,$M$9,AO33,0,$AC$40,0,,2,AP33,,AX33,AY33)</f>
        <v>#NAME?</v>
      </c>
      <c r="AR33" s="99">
        <f t="shared" ref="AR33:AR42" ca="1" si="0">IF(AND(AS33=1,AT33=1,AU33=1,AC41=1),1,0)</f>
        <v>0</v>
      </c>
      <c r="AS33" s="88">
        <f>IF(AH33&lt;=U$5,1,0)</f>
        <v>0</v>
      </c>
      <c r="AT33" s="88">
        <f>IF(main!$BC$35=1,1,0)</f>
        <v>0</v>
      </c>
      <c r="AU33" s="88">
        <f t="shared" ref="AU33:AU42" ca="1" si="1">$AL$33</f>
        <v>0</v>
      </c>
      <c r="AV33" s="90"/>
      <c r="AW33" s="88">
        <v>1</v>
      </c>
      <c r="AX33" s="88" t="str">
        <f>IFERROR(VALUE(TEXT(VLOOKUP(AW33,RSIday!AK$7:AL$102,2,FALSE),"yymmdd")),"")</f>
        <v/>
      </c>
      <c r="AY33" s="88" t="e">
        <f t="shared" ref="AY33:AY42" ca="1" si="2">_xlfn.SINGLE(_xlfn.XLOOKUP(AX33,N$19:N$28,P$19:P$28,"ない",0,-1))</f>
        <v>#NAME?</v>
      </c>
      <c r="BB33" s="1">
        <v>0</v>
      </c>
      <c r="BC33" s="1">
        <v>0</v>
      </c>
      <c r="BD33" s="1">
        <v>0</v>
      </c>
      <c r="BE33" s="1">
        <v>0</v>
      </c>
    </row>
    <row r="34" spans="1:57">
      <c r="F34" s="62"/>
      <c r="H34" s="61"/>
      <c r="I34" s="57"/>
      <c r="K34" s="55"/>
      <c r="L34" s="4"/>
      <c r="M34" s="4"/>
      <c r="N34" s="77"/>
      <c r="O34" s="4"/>
      <c r="P34" s="77"/>
      <c r="Q34" s="75"/>
      <c r="R34" s="75"/>
      <c r="S34" s="4"/>
      <c r="T34" s="4"/>
      <c r="U34" s="4"/>
      <c r="V34" s="77"/>
      <c r="W34" s="4"/>
      <c r="X34" s="77"/>
      <c r="Y34" s="75"/>
      <c r="AA34" s="88"/>
      <c r="AB34" s="87"/>
      <c r="AC34" s="117"/>
      <c r="AE34" s="95">
        <f t="shared" ref="AE34:AE42" si="3">AH34</f>
        <v>2</v>
      </c>
      <c r="AF34" s="96">
        <v>1</v>
      </c>
      <c r="AG34" s="96">
        <v>1</v>
      </c>
      <c r="AH34" s="88">
        <v>2</v>
      </c>
      <c r="AI34" s="97"/>
      <c r="AJ34" s="98">
        <f t="shared" ref="AJ34:AJ42" ca="1" si="4">IF(AND(AK34=1,AL34=1,AC$41=1),1,0)</f>
        <v>0</v>
      </c>
      <c r="AK34" s="88">
        <f>IF(AND(main!BB$33=main!AH34,main!BC$33=1),1,0)</f>
        <v>0</v>
      </c>
      <c r="AL34" s="88">
        <f t="shared" ref="AL34:AL42" ca="1" si="5">$AL$33</f>
        <v>0</v>
      </c>
      <c r="AM34" s="90"/>
      <c r="AN34" s="95">
        <v>102</v>
      </c>
      <c r="AO34" s="96">
        <v>3</v>
      </c>
      <c r="AP34" s="96">
        <v>1</v>
      </c>
      <c r="AQ34" s="97"/>
      <c r="AR34" s="99">
        <f t="shared" ca="1" si="0"/>
        <v>0</v>
      </c>
      <c r="AS34" s="88">
        <f t="shared" ref="AS34:AS42" si="6">IF(AH34&lt;=U$5,1,0)</f>
        <v>0</v>
      </c>
      <c r="AT34" s="88">
        <f>IF(main!$BC$35=1,1,0)</f>
        <v>0</v>
      </c>
      <c r="AU34" s="88">
        <f t="shared" ca="1" si="1"/>
        <v>0</v>
      </c>
      <c r="AV34" s="90"/>
      <c r="AW34" s="88">
        <v>2</v>
      </c>
      <c r="AX34" s="88" t="str">
        <f>IFERROR(VALUE(TEXT(VLOOKUP(AW34,RSIday!AK$7:AL$102,2,FALSE),"yymmdd")),"")</f>
        <v/>
      </c>
      <c r="AY34" s="88" t="e">
        <f t="shared" ca="1" si="2"/>
        <v>#NAME?</v>
      </c>
      <c r="BC34" s="1" t="s">
        <v>122</v>
      </c>
      <c r="BE34" s="1" t="s">
        <v>123</v>
      </c>
    </row>
    <row r="35" spans="1:57">
      <c r="F35" s="62"/>
      <c r="G35" s="9"/>
      <c r="H35" s="61"/>
      <c r="I35" s="57"/>
      <c r="K35" s="55"/>
      <c r="L35" s="4"/>
      <c r="M35" s="4"/>
      <c r="N35" s="77"/>
      <c r="O35" s="4"/>
      <c r="P35" s="77"/>
      <c r="Q35" s="75"/>
      <c r="R35" s="75"/>
      <c r="S35" s="4"/>
      <c r="T35" s="4"/>
      <c r="U35" s="4"/>
      <c r="V35" s="77"/>
      <c r="W35" s="4"/>
      <c r="X35" s="77"/>
      <c r="Y35" s="75"/>
      <c r="AA35" s="94"/>
      <c r="AB35" s="87"/>
      <c r="AC35" s="118"/>
      <c r="AE35" s="95">
        <f t="shared" si="3"/>
        <v>3</v>
      </c>
      <c r="AF35" s="96">
        <v>1</v>
      </c>
      <c r="AG35" s="96">
        <v>1</v>
      </c>
      <c r="AH35" s="88">
        <v>3</v>
      </c>
      <c r="AI35" s="97"/>
      <c r="AJ35" s="98">
        <f t="shared" ca="1" si="4"/>
        <v>0</v>
      </c>
      <c r="AK35" s="88">
        <f>IF(AND(main!BB$33=main!AH35,main!BC$33=1),1,0)</f>
        <v>0</v>
      </c>
      <c r="AL35" s="88">
        <f t="shared" ca="1" si="5"/>
        <v>0</v>
      </c>
      <c r="AM35" s="90"/>
      <c r="AN35" s="95">
        <v>103</v>
      </c>
      <c r="AO35" s="96">
        <v>3</v>
      </c>
      <c r="AP35" s="96">
        <v>1</v>
      </c>
      <c r="AQ35" s="97"/>
      <c r="AR35" s="99">
        <f t="shared" ca="1" si="0"/>
        <v>0</v>
      </c>
      <c r="AS35" s="88">
        <f t="shared" si="6"/>
        <v>0</v>
      </c>
      <c r="AT35" s="88">
        <f>IF(main!$BC$35=1,1,0)</f>
        <v>0</v>
      </c>
      <c r="AU35" s="88">
        <f t="shared" ca="1" si="1"/>
        <v>0</v>
      </c>
      <c r="AV35" s="90"/>
      <c r="AW35" s="88">
        <v>3</v>
      </c>
      <c r="AX35" s="88" t="str">
        <f>IFERROR(VALUE(TEXT(VLOOKUP(AW35,RSIday!AK$7:AL$102,2,FALSE),"yymmdd")),"")</f>
        <v/>
      </c>
      <c r="AY35" s="88" t="e">
        <f t="shared" ca="1" si="2"/>
        <v>#NAME?</v>
      </c>
      <c r="BC35" s="1">
        <v>0</v>
      </c>
      <c r="BE35" s="1">
        <v>0</v>
      </c>
    </row>
    <row r="36" spans="1:57">
      <c r="F36" s="62"/>
      <c r="G36" s="9"/>
      <c r="H36" s="61"/>
      <c r="I36" s="57"/>
      <c r="K36" s="55"/>
      <c r="L36" s="4"/>
      <c r="M36" s="4"/>
      <c r="N36" s="77"/>
      <c r="O36" s="4"/>
      <c r="P36" s="77"/>
      <c r="Q36" s="75"/>
      <c r="R36" s="75"/>
      <c r="S36" s="4"/>
      <c r="T36" s="4"/>
      <c r="U36" s="4"/>
      <c r="V36" s="77"/>
      <c r="W36" s="4"/>
      <c r="X36" s="77"/>
      <c r="Y36" s="75"/>
      <c r="AA36" s="94"/>
      <c r="AB36" s="87"/>
      <c r="AC36" s="118"/>
      <c r="AE36" s="95">
        <f t="shared" si="3"/>
        <v>4</v>
      </c>
      <c r="AF36" s="96">
        <v>1</v>
      </c>
      <c r="AG36" s="96">
        <v>1</v>
      </c>
      <c r="AH36" s="88">
        <v>4</v>
      </c>
      <c r="AI36" s="97"/>
      <c r="AJ36" s="98">
        <f t="shared" ca="1" si="4"/>
        <v>0</v>
      </c>
      <c r="AK36" s="88">
        <f>IF(AND(main!BB$33=main!AH36,main!BC$33=1),1,0)</f>
        <v>0</v>
      </c>
      <c r="AL36" s="88">
        <f t="shared" ca="1" si="5"/>
        <v>0</v>
      </c>
      <c r="AM36" s="90"/>
      <c r="AN36" s="95">
        <v>104</v>
      </c>
      <c r="AO36" s="96">
        <v>3</v>
      </c>
      <c r="AP36" s="96">
        <v>1</v>
      </c>
      <c r="AQ36" s="97"/>
      <c r="AR36" s="99">
        <f t="shared" ca="1" si="0"/>
        <v>0</v>
      </c>
      <c r="AS36" s="88">
        <f t="shared" si="6"/>
        <v>0</v>
      </c>
      <c r="AT36" s="88">
        <f>IF(main!$BC$35=1,1,0)</f>
        <v>0</v>
      </c>
      <c r="AU36" s="88">
        <f t="shared" ca="1" si="1"/>
        <v>0</v>
      </c>
      <c r="AV36" s="90"/>
      <c r="AW36" s="88">
        <v>4</v>
      </c>
      <c r="AX36" s="88" t="str">
        <f>IFERROR(VALUE(TEXT(VLOOKUP(AW36,RSIday!AK$7:AL$102,2,FALSE),"yymmdd")),"")</f>
        <v/>
      </c>
      <c r="AY36" s="88" t="e">
        <f t="shared" ca="1" si="2"/>
        <v>#NAME?</v>
      </c>
    </row>
    <row r="37" spans="1:57">
      <c r="F37" s="62"/>
      <c r="G37" s="9"/>
      <c r="H37" s="61"/>
      <c r="I37" s="57"/>
      <c r="K37" s="55"/>
      <c r="L37" s="4"/>
      <c r="M37" s="4"/>
      <c r="N37" s="77"/>
      <c r="O37" s="4"/>
      <c r="P37" s="77"/>
      <c r="Q37" s="75"/>
      <c r="R37" s="75"/>
      <c r="S37" s="4"/>
      <c r="T37" s="4"/>
      <c r="U37" s="4"/>
      <c r="V37" s="77"/>
      <c r="W37" s="4"/>
      <c r="X37" s="77"/>
      <c r="Y37" s="75"/>
      <c r="AA37" s="94"/>
      <c r="AB37" s="87"/>
      <c r="AC37" s="117"/>
      <c r="AE37" s="95">
        <f t="shared" si="3"/>
        <v>5</v>
      </c>
      <c r="AF37" s="96">
        <v>1</v>
      </c>
      <c r="AG37" s="96">
        <v>1</v>
      </c>
      <c r="AH37" s="88">
        <v>5</v>
      </c>
      <c r="AI37" s="97"/>
      <c r="AJ37" s="98">
        <f t="shared" ca="1" si="4"/>
        <v>0</v>
      </c>
      <c r="AK37" s="88">
        <f>IF(AND(main!BB$33=main!AH37,main!BC$33=1),1,0)</f>
        <v>0</v>
      </c>
      <c r="AL37" s="88">
        <f t="shared" ca="1" si="5"/>
        <v>0</v>
      </c>
      <c r="AM37" s="90"/>
      <c r="AN37" s="95">
        <v>105</v>
      </c>
      <c r="AO37" s="96">
        <v>3</v>
      </c>
      <c r="AP37" s="96">
        <v>1</v>
      </c>
      <c r="AQ37" s="97"/>
      <c r="AR37" s="99">
        <f t="shared" ca="1" si="0"/>
        <v>0</v>
      </c>
      <c r="AS37" s="88">
        <f t="shared" si="6"/>
        <v>0</v>
      </c>
      <c r="AT37" s="88">
        <f>IF(main!$BC$35=1,1,0)</f>
        <v>0</v>
      </c>
      <c r="AU37" s="88">
        <f t="shared" ca="1" si="1"/>
        <v>0</v>
      </c>
      <c r="AV37" s="90"/>
      <c r="AW37" s="88">
        <v>5</v>
      </c>
      <c r="AX37" s="88" t="str">
        <f>IFERROR(VALUE(TEXT(VLOOKUP(AW37,RSIday!AK$7:AL$102,2,FALSE),"yymmdd")),"")</f>
        <v/>
      </c>
      <c r="AY37" s="88" t="e">
        <f t="shared" ca="1" si="2"/>
        <v>#NAME?</v>
      </c>
    </row>
    <row r="38" spans="1:57">
      <c r="F38" s="62"/>
      <c r="G38" s="9"/>
      <c r="H38" s="61"/>
      <c r="I38" s="57"/>
      <c r="K38" s="55"/>
      <c r="L38" s="4"/>
      <c r="M38" s="4"/>
      <c r="N38" s="77"/>
      <c r="O38" s="4"/>
      <c r="P38" s="77"/>
      <c r="Q38" s="75"/>
      <c r="R38" s="75"/>
      <c r="S38" s="4"/>
      <c r="T38" s="4"/>
      <c r="U38" s="4"/>
      <c r="V38" s="77"/>
      <c r="W38" s="4"/>
      <c r="X38" s="77"/>
      <c r="Y38" s="75"/>
      <c r="AA38" s="90"/>
      <c r="AB38" s="119"/>
      <c r="AC38" s="90"/>
      <c r="AE38" s="95">
        <f t="shared" si="3"/>
        <v>6</v>
      </c>
      <c r="AF38" s="96">
        <v>1</v>
      </c>
      <c r="AG38" s="96">
        <v>1</v>
      </c>
      <c r="AH38" s="88">
        <v>6</v>
      </c>
      <c r="AI38" s="97"/>
      <c r="AJ38" s="98">
        <f t="shared" ca="1" si="4"/>
        <v>0</v>
      </c>
      <c r="AK38" s="88">
        <f>IF(AND(main!BB$33=main!AH38,main!BC$33=1),1,0)</f>
        <v>0</v>
      </c>
      <c r="AL38" s="88">
        <f t="shared" ca="1" si="5"/>
        <v>0</v>
      </c>
      <c r="AM38" s="90"/>
      <c r="AN38" s="95">
        <v>106</v>
      </c>
      <c r="AO38" s="96">
        <v>3</v>
      </c>
      <c r="AP38" s="96">
        <v>1</v>
      </c>
      <c r="AQ38" s="97"/>
      <c r="AR38" s="99">
        <f t="shared" ca="1" si="0"/>
        <v>0</v>
      </c>
      <c r="AS38" s="88">
        <f t="shared" si="6"/>
        <v>0</v>
      </c>
      <c r="AT38" s="88">
        <f>IF(main!$BC$35=1,1,0)</f>
        <v>0</v>
      </c>
      <c r="AU38" s="88">
        <f t="shared" ca="1" si="1"/>
        <v>0</v>
      </c>
      <c r="AV38" s="90"/>
      <c r="AW38" s="88">
        <v>6</v>
      </c>
      <c r="AX38" s="88" t="str">
        <f>IFERROR(VALUE(TEXT(VLOOKUP(AW38,RSIday!AK$7:AL$102,2,FALSE),"yymmdd")),"")</f>
        <v/>
      </c>
      <c r="AY38" s="88" t="e">
        <f t="shared" ca="1" si="2"/>
        <v>#NAME?</v>
      </c>
    </row>
    <row r="39" spans="1:57">
      <c r="F39" s="62"/>
      <c r="G39" s="9"/>
      <c r="H39" s="61"/>
      <c r="I39" s="57"/>
      <c r="K39" s="55"/>
      <c r="L39" s="4"/>
      <c r="M39" s="4"/>
      <c r="N39" s="77"/>
      <c r="O39" s="4"/>
      <c r="P39" s="77"/>
      <c r="Q39" s="75"/>
      <c r="R39" s="75"/>
      <c r="S39" s="4"/>
      <c r="T39" s="4"/>
      <c r="U39" s="4"/>
      <c r="V39" s="77"/>
      <c r="W39" s="4"/>
      <c r="X39" s="77"/>
      <c r="Y39" s="75"/>
      <c r="AA39" s="88" t="s">
        <v>0</v>
      </c>
      <c r="AB39" s="87" t="s">
        <v>1</v>
      </c>
      <c r="AC39" s="120"/>
      <c r="AE39" s="95">
        <f t="shared" si="3"/>
        <v>7</v>
      </c>
      <c r="AF39" s="96">
        <v>1</v>
      </c>
      <c r="AG39" s="96">
        <v>1</v>
      </c>
      <c r="AH39" s="88">
        <v>7</v>
      </c>
      <c r="AI39" s="97"/>
      <c r="AJ39" s="98">
        <f t="shared" ca="1" si="4"/>
        <v>0</v>
      </c>
      <c r="AK39" s="88">
        <f>IF(AND(main!BB$33=main!AH39,main!BC$33=1),1,0)</f>
        <v>0</v>
      </c>
      <c r="AL39" s="88">
        <f t="shared" ca="1" si="5"/>
        <v>0</v>
      </c>
      <c r="AM39" s="90"/>
      <c r="AN39" s="95">
        <v>107</v>
      </c>
      <c r="AO39" s="96">
        <v>3</v>
      </c>
      <c r="AP39" s="96">
        <v>1</v>
      </c>
      <c r="AQ39" s="97"/>
      <c r="AR39" s="99">
        <f t="shared" ca="1" si="0"/>
        <v>0</v>
      </c>
      <c r="AS39" s="88">
        <f t="shared" si="6"/>
        <v>0</v>
      </c>
      <c r="AT39" s="88">
        <f>IF(main!$BC$35=1,1,0)</f>
        <v>0</v>
      </c>
      <c r="AU39" s="88">
        <f t="shared" ca="1" si="1"/>
        <v>0</v>
      </c>
      <c r="AV39" s="90"/>
      <c r="AW39" s="88">
        <v>7</v>
      </c>
      <c r="AX39" s="88" t="str">
        <f>IFERROR(VALUE(TEXT(VLOOKUP(AW39,RSIday!AK$7:AL$102,2,FALSE),"yymmdd")),"")</f>
        <v/>
      </c>
      <c r="AY39" s="88" t="e">
        <f t="shared" ca="1" si="2"/>
        <v>#NAME?</v>
      </c>
    </row>
    <row r="40" spans="1:57">
      <c r="F40" s="62"/>
      <c r="G40" s="9"/>
      <c r="H40" s="61"/>
      <c r="I40" s="57"/>
      <c r="K40" s="55"/>
      <c r="L40" s="4"/>
      <c r="M40" s="4"/>
      <c r="N40" s="77"/>
      <c r="O40" s="4"/>
      <c r="P40" s="77"/>
      <c r="Q40" s="75"/>
      <c r="R40" s="75"/>
      <c r="S40" s="4"/>
      <c r="T40" s="4"/>
      <c r="U40" s="4"/>
      <c r="V40" s="77"/>
      <c r="W40" s="4"/>
      <c r="X40" s="77"/>
      <c r="Y40" s="75"/>
      <c r="AA40" s="94" t="s">
        <v>28</v>
      </c>
      <c r="AB40" s="121" t="s">
        <v>29</v>
      </c>
      <c r="AC40" s="96">
        <v>1</v>
      </c>
      <c r="AE40" s="95">
        <f t="shared" si="3"/>
        <v>8</v>
      </c>
      <c r="AF40" s="96">
        <v>1</v>
      </c>
      <c r="AG40" s="96">
        <v>1</v>
      </c>
      <c r="AH40" s="88">
        <v>8</v>
      </c>
      <c r="AI40" s="97"/>
      <c r="AJ40" s="98">
        <f t="shared" ca="1" si="4"/>
        <v>0</v>
      </c>
      <c r="AK40" s="88">
        <f>IF(AND(main!BB$33=main!AH40,main!BC$33=1),1,0)</f>
        <v>0</v>
      </c>
      <c r="AL40" s="88">
        <f t="shared" ca="1" si="5"/>
        <v>0</v>
      </c>
      <c r="AM40" s="90"/>
      <c r="AN40" s="95">
        <v>108</v>
      </c>
      <c r="AO40" s="96">
        <v>3</v>
      </c>
      <c r="AP40" s="96">
        <v>1</v>
      </c>
      <c r="AQ40" s="97"/>
      <c r="AR40" s="99">
        <f t="shared" ca="1" si="0"/>
        <v>0</v>
      </c>
      <c r="AS40" s="88">
        <f t="shared" si="6"/>
        <v>0</v>
      </c>
      <c r="AT40" s="88">
        <f>IF(main!$BC$35=1,1,0)</f>
        <v>0</v>
      </c>
      <c r="AU40" s="88">
        <f t="shared" ca="1" si="1"/>
        <v>0</v>
      </c>
      <c r="AV40" s="90"/>
      <c r="AW40" s="88">
        <v>8</v>
      </c>
      <c r="AX40" s="88" t="str">
        <f>IFERROR(VALUE(TEXT(VLOOKUP(AW40,RSIday!AK$7:AL$102,2,FALSE),"yymmdd")),"")</f>
        <v/>
      </c>
      <c r="AY40" s="88" t="e">
        <f t="shared" ca="1" si="2"/>
        <v>#NAME?</v>
      </c>
    </row>
    <row r="41" spans="1:57">
      <c r="F41" s="62"/>
      <c r="G41" s="9"/>
      <c r="H41" s="61"/>
      <c r="I41" s="57"/>
      <c r="K41" s="55"/>
      <c r="L41" s="4"/>
      <c r="M41" s="4"/>
      <c r="N41" s="77"/>
      <c r="O41" s="4"/>
      <c r="P41" s="77"/>
      <c r="Q41" s="75"/>
      <c r="R41" s="75"/>
      <c r="S41" s="4"/>
      <c r="T41" s="4"/>
      <c r="U41" s="4"/>
      <c r="V41" s="77"/>
      <c r="W41" s="4"/>
      <c r="X41" s="77"/>
      <c r="Y41" s="75"/>
      <c r="AA41" s="122" t="s">
        <v>20</v>
      </c>
      <c r="AB41" s="89" t="s">
        <v>54</v>
      </c>
      <c r="AC41" s="123">
        <v>1</v>
      </c>
      <c r="AE41" s="95">
        <f t="shared" si="3"/>
        <v>9</v>
      </c>
      <c r="AF41" s="96">
        <v>1</v>
      </c>
      <c r="AG41" s="96">
        <v>1</v>
      </c>
      <c r="AH41" s="88">
        <v>9</v>
      </c>
      <c r="AI41" s="97"/>
      <c r="AJ41" s="98">
        <f t="shared" ca="1" si="4"/>
        <v>0</v>
      </c>
      <c r="AK41" s="88">
        <f>IF(AND(main!BB$33=main!AH41,main!BC$33=1),1,0)</f>
        <v>0</v>
      </c>
      <c r="AL41" s="88">
        <f t="shared" ca="1" si="5"/>
        <v>0</v>
      </c>
      <c r="AM41" s="90"/>
      <c r="AN41" s="95">
        <v>109</v>
      </c>
      <c r="AO41" s="96">
        <v>3</v>
      </c>
      <c r="AP41" s="96">
        <v>1</v>
      </c>
      <c r="AQ41" s="97"/>
      <c r="AR41" s="99">
        <f t="shared" ca="1" si="0"/>
        <v>0</v>
      </c>
      <c r="AS41" s="88">
        <f t="shared" si="6"/>
        <v>0</v>
      </c>
      <c r="AT41" s="88">
        <f>IF(main!$BC$35=1,1,0)</f>
        <v>0</v>
      </c>
      <c r="AU41" s="88">
        <f t="shared" ca="1" si="1"/>
        <v>0</v>
      </c>
      <c r="AV41" s="90"/>
      <c r="AW41" s="88">
        <v>9</v>
      </c>
      <c r="AX41" s="88" t="str">
        <f>IFERROR(VALUE(TEXT(VLOOKUP(AW41,RSIday!AK$7:AL$102,2,FALSE),"yymmdd")),"")</f>
        <v/>
      </c>
      <c r="AY41" s="88" t="e">
        <f t="shared" ca="1" si="2"/>
        <v>#NAME?</v>
      </c>
    </row>
    <row r="42" spans="1:57">
      <c r="F42" s="62"/>
      <c r="G42" s="9"/>
      <c r="H42" s="61"/>
      <c r="I42" s="57"/>
      <c r="K42" s="55"/>
      <c r="L42" s="4"/>
      <c r="M42" s="4"/>
      <c r="N42" s="77"/>
      <c r="O42" s="4"/>
      <c r="P42" s="77"/>
      <c r="Q42" s="75"/>
      <c r="R42" s="75"/>
      <c r="S42" s="4"/>
      <c r="T42" s="4"/>
      <c r="U42" s="4"/>
      <c r="V42" s="77"/>
      <c r="W42" s="4"/>
      <c r="X42" s="77"/>
      <c r="Y42" s="75"/>
      <c r="AE42" s="95">
        <f t="shared" si="3"/>
        <v>10</v>
      </c>
      <c r="AF42" s="96">
        <v>1</v>
      </c>
      <c r="AG42" s="96">
        <v>1</v>
      </c>
      <c r="AH42" s="88">
        <v>10</v>
      </c>
      <c r="AI42" s="97"/>
      <c r="AJ42" s="98">
        <f t="shared" ca="1" si="4"/>
        <v>0</v>
      </c>
      <c r="AK42" s="88">
        <f>IF(AND(main!BB$33=main!AH42,main!BC$33=1),1,0)</f>
        <v>0</v>
      </c>
      <c r="AL42" s="88">
        <f t="shared" ca="1" si="5"/>
        <v>0</v>
      </c>
      <c r="AM42" s="90"/>
      <c r="AN42" s="95">
        <v>110</v>
      </c>
      <c r="AO42" s="96">
        <v>3</v>
      </c>
      <c r="AP42" s="96">
        <v>1</v>
      </c>
      <c r="AQ42" s="97"/>
      <c r="AR42" s="99">
        <f t="shared" ca="1" si="0"/>
        <v>0</v>
      </c>
      <c r="AS42" s="88">
        <f t="shared" si="6"/>
        <v>0</v>
      </c>
      <c r="AT42" s="88">
        <f>IF(main!$BC$35=1,1,0)</f>
        <v>0</v>
      </c>
      <c r="AU42" s="88">
        <f t="shared" ca="1" si="1"/>
        <v>0</v>
      </c>
      <c r="AV42" s="90"/>
      <c r="AW42" s="88">
        <v>10</v>
      </c>
      <c r="AX42" s="88" t="str">
        <f>IFERROR(VALUE(TEXT(VLOOKUP(AW42,RSIday!AK$7:AL$102,2,FALSE),"yymmdd")),"")</f>
        <v/>
      </c>
      <c r="AY42" s="88" t="e">
        <f t="shared" ca="1" si="2"/>
        <v>#NAME?</v>
      </c>
    </row>
    <row r="43" spans="1:57">
      <c r="F43" s="62"/>
      <c r="G43" s="9"/>
      <c r="H43" s="61"/>
      <c r="I43" s="57"/>
      <c r="K43" s="55"/>
      <c r="L43" s="4"/>
      <c r="M43" s="4"/>
      <c r="N43" s="77"/>
      <c r="O43" s="4"/>
      <c r="P43" s="77"/>
      <c r="Q43" s="75"/>
      <c r="R43" s="75"/>
      <c r="S43" s="4"/>
      <c r="T43" s="4"/>
      <c r="U43" s="4"/>
      <c r="V43" s="77"/>
      <c r="W43" s="4"/>
      <c r="X43" s="77"/>
      <c r="Y43" s="75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</row>
    <row r="44" spans="1:57">
      <c r="A44" s="6"/>
      <c r="B44" s="6"/>
      <c r="F44" s="62"/>
      <c r="G44" s="9"/>
      <c r="H44" s="61"/>
      <c r="I44" s="57"/>
      <c r="K44" s="55"/>
      <c r="L44" s="4"/>
      <c r="M44" s="4"/>
      <c r="N44" s="77"/>
      <c r="O44" s="4"/>
      <c r="P44" s="77"/>
      <c r="Q44" s="75"/>
      <c r="R44" s="75"/>
      <c r="S44" s="4"/>
      <c r="T44" s="4"/>
      <c r="U44" s="4"/>
      <c r="V44" s="77"/>
      <c r="W44" s="4"/>
      <c r="X44" s="77"/>
      <c r="Y44" s="75"/>
      <c r="AE44" s="100" t="s">
        <v>52</v>
      </c>
      <c r="AF44" s="90"/>
      <c r="AG44" s="90"/>
      <c r="AH44" s="90"/>
      <c r="AI44" s="90"/>
      <c r="AJ44" s="90"/>
      <c r="AK44" s="90"/>
      <c r="AL44" s="90"/>
      <c r="AM44" s="90"/>
      <c r="AN44" s="100" t="s">
        <v>53</v>
      </c>
      <c r="AO44" s="90"/>
      <c r="AP44" s="90"/>
      <c r="AQ44" s="90"/>
      <c r="AR44" s="90"/>
      <c r="AS44" s="90"/>
      <c r="AT44" s="90"/>
      <c r="AU44" s="90"/>
      <c r="AV44" s="90"/>
      <c r="AW44" s="90"/>
      <c r="AX44" s="90"/>
      <c r="AY44" s="90"/>
    </row>
    <row r="45" spans="1:57">
      <c r="A45" s="6"/>
      <c r="B45" s="6"/>
      <c r="C45" s="3"/>
      <c r="D45" s="3"/>
      <c r="E45" s="3"/>
      <c r="F45" s="62"/>
      <c r="G45" s="9"/>
      <c r="H45" s="61"/>
      <c r="I45" s="57"/>
      <c r="K45" s="55"/>
      <c r="L45" s="4"/>
      <c r="M45" s="4"/>
      <c r="N45" s="77"/>
      <c r="O45" s="4"/>
      <c r="P45" s="77"/>
      <c r="Q45" s="75"/>
      <c r="R45" s="75"/>
      <c r="S45" s="4"/>
      <c r="T45" s="4"/>
      <c r="U45" s="4"/>
      <c r="V45" s="77"/>
      <c r="W45" s="4"/>
      <c r="X45" s="77"/>
      <c r="Y45" s="75"/>
      <c r="AE45" s="87" t="s">
        <v>4</v>
      </c>
      <c r="AF45" s="87" t="s">
        <v>16</v>
      </c>
      <c r="AG45" s="87" t="s">
        <v>15</v>
      </c>
      <c r="AH45" s="87"/>
      <c r="AI45" s="89" t="s">
        <v>32</v>
      </c>
      <c r="AJ45" s="87"/>
      <c r="AK45" s="87" t="s">
        <v>22</v>
      </c>
      <c r="AL45" s="87" t="s">
        <v>23</v>
      </c>
      <c r="AM45" s="90"/>
      <c r="AN45" s="87" t="s">
        <v>4</v>
      </c>
      <c r="AO45" s="87" t="s">
        <v>31</v>
      </c>
      <c r="AP45" s="87" t="s">
        <v>15</v>
      </c>
      <c r="AQ45" s="89" t="s">
        <v>32</v>
      </c>
      <c r="AR45" s="87"/>
      <c r="AS45" s="91" t="s">
        <v>40</v>
      </c>
      <c r="AT45" s="87" t="s">
        <v>30</v>
      </c>
      <c r="AU45" s="87" t="s">
        <v>23</v>
      </c>
      <c r="AV45" s="90"/>
      <c r="AW45" s="90"/>
      <c r="AX45" s="90"/>
      <c r="AY45" s="90"/>
    </row>
    <row r="46" spans="1:57">
      <c r="F46" s="62"/>
      <c r="G46" s="9"/>
      <c r="H46" s="61"/>
      <c r="I46" s="57"/>
      <c r="K46" s="55"/>
      <c r="L46" s="4"/>
      <c r="M46" s="4"/>
      <c r="N46" s="77"/>
      <c r="O46" s="4"/>
      <c r="P46" s="77"/>
      <c r="Q46" s="75"/>
      <c r="R46" s="75"/>
      <c r="S46" s="4"/>
      <c r="T46" s="4"/>
      <c r="U46" s="4"/>
      <c r="V46" s="77"/>
      <c r="W46" s="4"/>
      <c r="X46" s="77"/>
      <c r="Y46" s="75"/>
      <c r="AE46" s="92" t="s">
        <v>3</v>
      </c>
      <c r="AF46" s="88" t="s">
        <v>13</v>
      </c>
      <c r="AG46" s="88" t="s">
        <v>14</v>
      </c>
      <c r="AH46" s="88" t="s">
        <v>21</v>
      </c>
      <c r="AI46" s="89" t="s">
        <v>70</v>
      </c>
      <c r="AJ46" s="93" t="s">
        <v>12</v>
      </c>
      <c r="AK46" s="88" t="s">
        <v>25</v>
      </c>
      <c r="AL46" s="88" t="s">
        <v>26</v>
      </c>
      <c r="AM46" s="90"/>
      <c r="AN46" s="92" t="s">
        <v>3</v>
      </c>
      <c r="AO46" s="88" t="s">
        <v>13</v>
      </c>
      <c r="AP46" s="88" t="s">
        <v>14</v>
      </c>
      <c r="AQ46" s="89" t="s">
        <v>70</v>
      </c>
      <c r="AR46" s="93" t="s">
        <v>12</v>
      </c>
      <c r="AS46" s="94" t="s">
        <v>27</v>
      </c>
      <c r="AT46" s="88" t="s">
        <v>25</v>
      </c>
      <c r="AU46" s="88" t="s">
        <v>26</v>
      </c>
      <c r="AV46" s="90"/>
      <c r="AW46" s="88" t="s">
        <v>21</v>
      </c>
      <c r="AX46" s="88" t="s">
        <v>55</v>
      </c>
      <c r="AY46" s="88" t="s">
        <v>39</v>
      </c>
    </row>
    <row r="47" spans="1:57">
      <c r="F47" s="62"/>
      <c r="G47" s="9"/>
      <c r="H47" s="61"/>
      <c r="I47" s="57"/>
      <c r="K47" s="55"/>
      <c r="L47" s="4"/>
      <c r="M47" s="4"/>
      <c r="N47" s="77"/>
      <c r="O47" s="4"/>
      <c r="P47" s="77"/>
      <c r="Q47" s="75"/>
      <c r="R47" s="75"/>
      <c r="S47" s="4"/>
      <c r="T47" s="4"/>
      <c r="U47" s="4"/>
      <c r="V47" s="77"/>
      <c r="W47" s="4"/>
      <c r="X47" s="77"/>
      <c r="Y47" s="75"/>
      <c r="AE47" s="95">
        <v>11</v>
      </c>
      <c r="AF47" s="96">
        <v>3</v>
      </c>
      <c r="AG47" s="96">
        <v>1</v>
      </c>
      <c r="AH47" s="88">
        <v>1</v>
      </c>
      <c r="AI47" s="97" t="e">
        <f ca="1">_xll.RssFOPOpenOrder(AE47,AJ47,$M$9,AF47,0,$AC$40,0,,2,AG47)</f>
        <v>#NAME?</v>
      </c>
      <c r="AJ47" s="98">
        <f ca="1">IF(AND(AK47=1,AL47=1,AC$41=1),1,0)</f>
        <v>0</v>
      </c>
      <c r="AK47" s="88">
        <f>IF(AND(main!BD$33=main!AH47,main!BE$33=1),1,0)</f>
        <v>0</v>
      </c>
      <c r="AL47" s="88">
        <f t="shared" ref="AL47:AL56" ca="1" si="7">$AL$33</f>
        <v>0</v>
      </c>
      <c r="AM47" s="90"/>
      <c r="AN47" s="95">
        <v>111</v>
      </c>
      <c r="AO47" s="96">
        <v>1</v>
      </c>
      <c r="AP47" s="96">
        <v>1</v>
      </c>
      <c r="AQ47" s="97" t="e">
        <f ca="1">_xll.RssFOPCloseOrder(AN47,AR47,$M$9,AO47,0,$AC$40,0,,2,AP47,,AX47,AY47)</f>
        <v>#NAME?</v>
      </c>
      <c r="AR47" s="99">
        <f t="shared" ref="AR47:AR56" ca="1" si="8">IF(AND(AS47=1,AT47=1,AU47=1,AC41=1),1,0)</f>
        <v>0</v>
      </c>
      <c r="AS47" s="88">
        <f>IF(AH47&lt;=U$6,1,0)</f>
        <v>0</v>
      </c>
      <c r="AT47" s="88">
        <f>IF(main!$BE$35=1,1,0)</f>
        <v>0</v>
      </c>
      <c r="AU47" s="88">
        <f t="shared" ref="AU47:AU56" ca="1" si="9">$AL$33</f>
        <v>0</v>
      </c>
      <c r="AV47" s="90"/>
      <c r="AW47" s="88">
        <v>1</v>
      </c>
      <c r="AX47" s="88" t="str">
        <f>IFERROR(VALUE(TEXT(VLOOKUP(AW47,RSIday!AN$7:AO$102,2,FALSE),"yymmdd")),"")</f>
        <v/>
      </c>
      <c r="AY47" s="88" t="e">
        <f t="shared" ref="AY47:AY56" ca="1" si="10">_xlfn.SINGLE(_xlfn.XLOOKUP(AX47,V$19:V$28,X$19:X$28,"ない",0,TRUE))</f>
        <v>#NAME?</v>
      </c>
    </row>
    <row r="48" spans="1:57">
      <c r="F48" s="62"/>
      <c r="G48" s="9"/>
      <c r="H48" s="61"/>
      <c r="I48" s="57"/>
      <c r="K48" s="55"/>
      <c r="L48" s="4"/>
      <c r="M48" s="4"/>
      <c r="N48" s="77"/>
      <c r="O48" s="4"/>
      <c r="P48" s="77"/>
      <c r="Q48" s="75"/>
      <c r="R48" s="75"/>
      <c r="S48" s="4"/>
      <c r="T48" s="4"/>
      <c r="U48" s="4"/>
      <c r="V48" s="77"/>
      <c r="W48" s="4"/>
      <c r="X48" s="77"/>
      <c r="Y48" s="75"/>
      <c r="AE48" s="95">
        <v>12</v>
      </c>
      <c r="AF48" s="96">
        <v>3</v>
      </c>
      <c r="AG48" s="96">
        <v>1</v>
      </c>
      <c r="AH48" s="88">
        <v>2</v>
      </c>
      <c r="AI48" s="97"/>
      <c r="AJ48" s="98">
        <f t="shared" ref="AJ48:AJ56" ca="1" si="11">IF(AND(AK48=1,AL48=1,AC$41=1),1,0)</f>
        <v>0</v>
      </c>
      <c r="AK48" s="88">
        <f>IF(AND(main!BD$33=main!AH48,main!BE$33=1),1,0)</f>
        <v>0</v>
      </c>
      <c r="AL48" s="88">
        <f t="shared" ca="1" si="7"/>
        <v>0</v>
      </c>
      <c r="AM48" s="90"/>
      <c r="AN48" s="95">
        <v>112</v>
      </c>
      <c r="AO48" s="96">
        <v>1</v>
      </c>
      <c r="AP48" s="96">
        <v>1</v>
      </c>
      <c r="AQ48" s="97"/>
      <c r="AR48" s="99">
        <f t="shared" ca="1" si="8"/>
        <v>0</v>
      </c>
      <c r="AS48" s="88">
        <f t="shared" ref="AS48:AS56" si="12">IF(AH48&lt;=U$6,1,0)</f>
        <v>0</v>
      </c>
      <c r="AT48" s="88">
        <f>IF(main!$BE$35=1,1,0)</f>
        <v>0</v>
      </c>
      <c r="AU48" s="88">
        <f t="shared" ca="1" si="9"/>
        <v>0</v>
      </c>
      <c r="AV48" s="90"/>
      <c r="AW48" s="88">
        <v>2</v>
      </c>
      <c r="AX48" s="88" t="str">
        <f>IFERROR(VALUE(TEXT(VLOOKUP(AW48,RSIday!AN$7:AO$102,2,FALSE),"yymmdd")),"")</f>
        <v/>
      </c>
      <c r="AY48" s="88" t="e">
        <f t="shared" ca="1" si="10"/>
        <v>#NAME?</v>
      </c>
    </row>
    <row r="49" spans="1:51">
      <c r="F49" s="62"/>
      <c r="G49" s="9"/>
      <c r="H49" s="61"/>
      <c r="I49" s="57"/>
      <c r="K49" s="55"/>
      <c r="L49" s="4"/>
      <c r="M49" s="4"/>
      <c r="N49" s="77"/>
      <c r="O49" s="4"/>
      <c r="P49" s="77"/>
      <c r="Q49" s="75"/>
      <c r="R49" s="75"/>
      <c r="S49" s="4"/>
      <c r="T49" s="4"/>
      <c r="U49" s="4"/>
      <c r="V49" s="77"/>
      <c r="W49" s="4"/>
      <c r="X49" s="77"/>
      <c r="Y49" s="75"/>
      <c r="AE49" s="95">
        <v>13</v>
      </c>
      <c r="AF49" s="96">
        <v>3</v>
      </c>
      <c r="AG49" s="96">
        <v>1</v>
      </c>
      <c r="AH49" s="88">
        <v>3</v>
      </c>
      <c r="AI49" s="97"/>
      <c r="AJ49" s="98">
        <f t="shared" ca="1" si="11"/>
        <v>0</v>
      </c>
      <c r="AK49" s="88">
        <f>IF(AND(main!BD$33=main!AH49,main!BE$33=1),1,0)</f>
        <v>0</v>
      </c>
      <c r="AL49" s="88">
        <f t="shared" ca="1" si="7"/>
        <v>0</v>
      </c>
      <c r="AM49" s="90"/>
      <c r="AN49" s="95">
        <v>113</v>
      </c>
      <c r="AO49" s="96">
        <v>1</v>
      </c>
      <c r="AP49" s="96">
        <v>1</v>
      </c>
      <c r="AQ49" s="97"/>
      <c r="AR49" s="99">
        <f t="shared" ca="1" si="8"/>
        <v>0</v>
      </c>
      <c r="AS49" s="88">
        <f t="shared" si="12"/>
        <v>0</v>
      </c>
      <c r="AT49" s="88">
        <f>IF(main!$BE$35=1,1,0)</f>
        <v>0</v>
      </c>
      <c r="AU49" s="88">
        <f t="shared" ca="1" si="9"/>
        <v>0</v>
      </c>
      <c r="AV49" s="90"/>
      <c r="AW49" s="88">
        <v>3</v>
      </c>
      <c r="AX49" s="88" t="str">
        <f>IFERROR(VALUE(TEXT(VLOOKUP(AW49,RSIday!AN$7:AO$102,2,FALSE),"yymmdd")),"")</f>
        <v/>
      </c>
      <c r="AY49" s="88" t="e">
        <f t="shared" ca="1" si="10"/>
        <v>#NAME?</v>
      </c>
    </row>
    <row r="50" spans="1:51">
      <c r="F50" s="62"/>
      <c r="G50" s="9"/>
      <c r="H50" s="61"/>
      <c r="I50" s="57"/>
      <c r="K50" s="55"/>
      <c r="L50" s="4"/>
      <c r="M50" s="4"/>
      <c r="N50" s="77"/>
      <c r="O50" s="4"/>
      <c r="P50" s="77"/>
      <c r="Q50" s="75"/>
      <c r="R50" s="75"/>
      <c r="S50" s="4"/>
      <c r="T50" s="4"/>
      <c r="U50" s="4"/>
      <c r="V50" s="77"/>
      <c r="W50" s="4"/>
      <c r="X50" s="77"/>
      <c r="Y50" s="75"/>
      <c r="AE50" s="95">
        <v>14</v>
      </c>
      <c r="AF50" s="96">
        <v>3</v>
      </c>
      <c r="AG50" s="96">
        <v>1</v>
      </c>
      <c r="AH50" s="88">
        <v>4</v>
      </c>
      <c r="AI50" s="97"/>
      <c r="AJ50" s="98">
        <f t="shared" ca="1" si="11"/>
        <v>0</v>
      </c>
      <c r="AK50" s="88">
        <f>IF(AND(main!BD$33=main!AH50,main!BE$33=1),1,0)</f>
        <v>0</v>
      </c>
      <c r="AL50" s="88">
        <f t="shared" ca="1" si="7"/>
        <v>0</v>
      </c>
      <c r="AM50" s="90"/>
      <c r="AN50" s="95">
        <v>114</v>
      </c>
      <c r="AO50" s="96">
        <v>1</v>
      </c>
      <c r="AP50" s="96">
        <v>1</v>
      </c>
      <c r="AQ50" s="97"/>
      <c r="AR50" s="99">
        <f t="shared" ca="1" si="8"/>
        <v>0</v>
      </c>
      <c r="AS50" s="88">
        <f t="shared" si="12"/>
        <v>0</v>
      </c>
      <c r="AT50" s="88">
        <f>IF(main!$BE$35=1,1,0)</f>
        <v>0</v>
      </c>
      <c r="AU50" s="88">
        <f t="shared" ca="1" si="9"/>
        <v>0</v>
      </c>
      <c r="AV50" s="90"/>
      <c r="AW50" s="88">
        <v>4</v>
      </c>
      <c r="AX50" s="88" t="str">
        <f>IFERROR(VALUE(TEXT(VLOOKUP(AW50,RSIday!AN$7:AO$102,2,FALSE),"yymmdd")),"")</f>
        <v/>
      </c>
      <c r="AY50" s="88" t="e">
        <f t="shared" ca="1" si="10"/>
        <v>#NAME?</v>
      </c>
    </row>
    <row r="51" spans="1:51">
      <c r="F51" s="62"/>
      <c r="G51" s="9"/>
      <c r="H51" s="61"/>
      <c r="I51" s="57"/>
      <c r="K51" s="55"/>
      <c r="L51" s="4"/>
      <c r="M51" s="4"/>
      <c r="N51" s="77"/>
      <c r="O51" s="4"/>
      <c r="P51" s="77"/>
      <c r="Q51" s="75"/>
      <c r="R51" s="75"/>
      <c r="S51" s="4"/>
      <c r="T51" s="4"/>
      <c r="U51" s="4"/>
      <c r="V51" s="77"/>
      <c r="W51" s="4"/>
      <c r="X51" s="77"/>
      <c r="Y51" s="75"/>
      <c r="AE51" s="95">
        <v>15</v>
      </c>
      <c r="AF51" s="96">
        <v>3</v>
      </c>
      <c r="AG51" s="96">
        <v>1</v>
      </c>
      <c r="AH51" s="88">
        <v>5</v>
      </c>
      <c r="AI51" s="97"/>
      <c r="AJ51" s="98">
        <f t="shared" ca="1" si="11"/>
        <v>0</v>
      </c>
      <c r="AK51" s="88">
        <f>IF(AND(main!BD$33=main!AH51,main!BE$33=1),1,0)</f>
        <v>0</v>
      </c>
      <c r="AL51" s="88">
        <f t="shared" ca="1" si="7"/>
        <v>0</v>
      </c>
      <c r="AM51" s="90"/>
      <c r="AN51" s="95">
        <v>115</v>
      </c>
      <c r="AO51" s="96">
        <v>1</v>
      </c>
      <c r="AP51" s="96">
        <v>1</v>
      </c>
      <c r="AQ51" s="97"/>
      <c r="AR51" s="99">
        <f t="shared" ca="1" si="8"/>
        <v>0</v>
      </c>
      <c r="AS51" s="88">
        <f t="shared" si="12"/>
        <v>0</v>
      </c>
      <c r="AT51" s="88">
        <f>IF(main!$BE$35=1,1,0)</f>
        <v>0</v>
      </c>
      <c r="AU51" s="88">
        <f t="shared" ca="1" si="9"/>
        <v>0</v>
      </c>
      <c r="AV51" s="90"/>
      <c r="AW51" s="88">
        <v>5</v>
      </c>
      <c r="AX51" s="88" t="str">
        <f>IFERROR(VALUE(TEXT(VLOOKUP(AW51,RSIday!AN$7:AO$102,2,FALSE),"yymmdd")),"")</f>
        <v/>
      </c>
      <c r="AY51" s="88" t="e">
        <f t="shared" ca="1" si="10"/>
        <v>#NAME?</v>
      </c>
    </row>
    <row r="52" spans="1:51">
      <c r="F52" s="62"/>
      <c r="G52" s="9"/>
      <c r="H52" s="61"/>
      <c r="I52" s="57"/>
      <c r="K52" s="55"/>
      <c r="L52" s="4"/>
      <c r="M52" s="4"/>
      <c r="N52" s="77"/>
      <c r="O52" s="4"/>
      <c r="P52" s="77"/>
      <c r="Q52" s="75"/>
      <c r="R52" s="75"/>
      <c r="S52" s="4"/>
      <c r="T52" s="4"/>
      <c r="U52" s="4"/>
      <c r="V52" s="77"/>
      <c r="W52" s="4"/>
      <c r="X52" s="77"/>
      <c r="Y52" s="75"/>
      <c r="AE52" s="95">
        <v>16</v>
      </c>
      <c r="AF52" s="96">
        <v>3</v>
      </c>
      <c r="AG52" s="96">
        <v>1</v>
      </c>
      <c r="AH52" s="88">
        <v>6</v>
      </c>
      <c r="AI52" s="97"/>
      <c r="AJ52" s="98">
        <f t="shared" ca="1" si="11"/>
        <v>0</v>
      </c>
      <c r="AK52" s="88">
        <f>IF(AND(main!BD$33=main!AH52,main!BE$33=1),1,0)</f>
        <v>0</v>
      </c>
      <c r="AL52" s="88">
        <f t="shared" ca="1" si="7"/>
        <v>0</v>
      </c>
      <c r="AM52" s="90"/>
      <c r="AN52" s="95">
        <v>116</v>
      </c>
      <c r="AO52" s="96">
        <v>1</v>
      </c>
      <c r="AP52" s="96">
        <v>1</v>
      </c>
      <c r="AQ52" s="97"/>
      <c r="AR52" s="99">
        <f t="shared" ca="1" si="8"/>
        <v>0</v>
      </c>
      <c r="AS52" s="88">
        <f t="shared" si="12"/>
        <v>0</v>
      </c>
      <c r="AT52" s="88">
        <f>IF(main!$BE$35=1,1,0)</f>
        <v>0</v>
      </c>
      <c r="AU52" s="88">
        <f t="shared" ca="1" si="9"/>
        <v>0</v>
      </c>
      <c r="AV52" s="90"/>
      <c r="AW52" s="88">
        <v>6</v>
      </c>
      <c r="AX52" s="88" t="str">
        <f>IFERROR(VALUE(TEXT(VLOOKUP(AW52,RSIday!AN$7:AO$102,2,FALSE),"yymmdd")),"")</f>
        <v/>
      </c>
      <c r="AY52" s="88" t="e">
        <f t="shared" ca="1" si="10"/>
        <v>#NAME?</v>
      </c>
    </row>
    <row r="53" spans="1:51">
      <c r="F53" s="62"/>
      <c r="G53" s="9"/>
      <c r="H53" s="61"/>
      <c r="I53" s="57"/>
      <c r="K53" s="55"/>
      <c r="L53" s="4"/>
      <c r="M53" s="4"/>
      <c r="N53" s="77"/>
      <c r="O53" s="4"/>
      <c r="P53" s="77"/>
      <c r="Q53" s="75"/>
      <c r="R53" s="75"/>
      <c r="S53" s="4"/>
      <c r="T53" s="4"/>
      <c r="U53" s="4"/>
      <c r="V53" s="77"/>
      <c r="W53" s="4"/>
      <c r="X53" s="77"/>
      <c r="Y53" s="75"/>
      <c r="AE53" s="95">
        <v>17</v>
      </c>
      <c r="AF53" s="96">
        <v>3</v>
      </c>
      <c r="AG53" s="96">
        <v>1</v>
      </c>
      <c r="AH53" s="88">
        <v>7</v>
      </c>
      <c r="AI53" s="97"/>
      <c r="AJ53" s="98">
        <f t="shared" ca="1" si="11"/>
        <v>0</v>
      </c>
      <c r="AK53" s="88">
        <f>IF(AND(main!BD$33=main!AH53,main!BE$33=1),1,0)</f>
        <v>0</v>
      </c>
      <c r="AL53" s="88">
        <f t="shared" ca="1" si="7"/>
        <v>0</v>
      </c>
      <c r="AM53" s="90"/>
      <c r="AN53" s="95">
        <v>117</v>
      </c>
      <c r="AO53" s="96">
        <v>1</v>
      </c>
      <c r="AP53" s="96">
        <v>1</v>
      </c>
      <c r="AQ53" s="97"/>
      <c r="AR53" s="99">
        <f t="shared" ca="1" si="8"/>
        <v>0</v>
      </c>
      <c r="AS53" s="88">
        <f t="shared" si="12"/>
        <v>0</v>
      </c>
      <c r="AT53" s="88">
        <f>IF(main!$BE$35=1,1,0)</f>
        <v>0</v>
      </c>
      <c r="AU53" s="88">
        <f t="shared" ca="1" si="9"/>
        <v>0</v>
      </c>
      <c r="AV53" s="90"/>
      <c r="AW53" s="88">
        <v>7</v>
      </c>
      <c r="AX53" s="88" t="str">
        <f>IFERROR(VALUE(TEXT(VLOOKUP(AW53,RSIday!AN$7:AO$102,2,FALSE),"yymmdd")),"")</f>
        <v/>
      </c>
      <c r="AY53" s="88" t="e">
        <f t="shared" ca="1" si="10"/>
        <v>#NAME?</v>
      </c>
    </row>
    <row r="54" spans="1:51">
      <c r="A54" s="3"/>
      <c r="B54" s="3"/>
      <c r="C54" s="3"/>
      <c r="D54" s="3"/>
      <c r="E54" s="3"/>
      <c r="F54" s="63"/>
      <c r="G54" s="3"/>
      <c r="H54" s="61"/>
      <c r="I54" s="57"/>
      <c r="K54" s="55"/>
      <c r="L54" s="4"/>
      <c r="M54" s="4"/>
      <c r="N54" s="77"/>
      <c r="O54" s="4"/>
      <c r="P54" s="77"/>
      <c r="Q54" s="75"/>
      <c r="R54" s="75"/>
      <c r="S54" s="4"/>
      <c r="T54" s="4"/>
      <c r="U54" s="4"/>
      <c r="V54" s="77"/>
      <c r="W54" s="4"/>
      <c r="X54" s="77"/>
      <c r="Y54" s="75"/>
      <c r="AE54" s="95">
        <v>18</v>
      </c>
      <c r="AF54" s="96">
        <v>3</v>
      </c>
      <c r="AG54" s="96">
        <v>1</v>
      </c>
      <c r="AH54" s="88">
        <v>8</v>
      </c>
      <c r="AI54" s="97"/>
      <c r="AJ54" s="98">
        <f t="shared" ca="1" si="11"/>
        <v>0</v>
      </c>
      <c r="AK54" s="88">
        <f>IF(AND(main!BD$33=main!AH54,main!BE$33=1),1,0)</f>
        <v>0</v>
      </c>
      <c r="AL54" s="88">
        <f t="shared" ca="1" si="7"/>
        <v>0</v>
      </c>
      <c r="AM54" s="90"/>
      <c r="AN54" s="95">
        <v>118</v>
      </c>
      <c r="AO54" s="96">
        <v>1</v>
      </c>
      <c r="AP54" s="96">
        <v>1</v>
      </c>
      <c r="AQ54" s="97"/>
      <c r="AR54" s="99">
        <f t="shared" ca="1" si="8"/>
        <v>0</v>
      </c>
      <c r="AS54" s="88">
        <f t="shared" si="12"/>
        <v>0</v>
      </c>
      <c r="AT54" s="88">
        <f>IF(main!$BE$35=1,1,0)</f>
        <v>0</v>
      </c>
      <c r="AU54" s="88">
        <f t="shared" ca="1" si="9"/>
        <v>0</v>
      </c>
      <c r="AV54" s="90"/>
      <c r="AW54" s="88">
        <v>8</v>
      </c>
      <c r="AX54" s="88" t="str">
        <f>IFERROR(VALUE(TEXT(VLOOKUP(AW54,RSIday!AN$7:AO$102,2,FALSE),"yymmdd")),"")</f>
        <v/>
      </c>
      <c r="AY54" s="88" t="e">
        <f t="shared" ca="1" si="10"/>
        <v>#NAME?</v>
      </c>
    </row>
    <row r="55" spans="1:51">
      <c r="A55" s="3"/>
      <c r="B55" s="3"/>
      <c r="C55" s="3"/>
      <c r="D55" s="3"/>
      <c r="E55" s="3"/>
      <c r="F55" s="63"/>
      <c r="H55" s="61"/>
      <c r="I55" s="57"/>
      <c r="K55" s="55"/>
      <c r="L55" s="4"/>
      <c r="M55" s="4"/>
      <c r="N55" s="77"/>
      <c r="O55" s="4"/>
      <c r="P55" s="77"/>
      <c r="Q55" s="75"/>
      <c r="R55" s="75"/>
      <c r="S55" s="4"/>
      <c r="T55" s="4"/>
      <c r="U55" s="4"/>
      <c r="V55" s="77"/>
      <c r="W55" s="4"/>
      <c r="X55" s="77"/>
      <c r="Y55" s="75"/>
      <c r="AE55" s="95">
        <v>19</v>
      </c>
      <c r="AF55" s="96">
        <v>3</v>
      </c>
      <c r="AG55" s="96">
        <v>1</v>
      </c>
      <c r="AH55" s="88">
        <v>9</v>
      </c>
      <c r="AI55" s="97"/>
      <c r="AJ55" s="98">
        <f t="shared" ca="1" si="11"/>
        <v>0</v>
      </c>
      <c r="AK55" s="88">
        <f>IF(AND(main!BD$33=main!AH55,main!BE$33=1),1,0)</f>
        <v>0</v>
      </c>
      <c r="AL55" s="88">
        <f t="shared" ca="1" si="7"/>
        <v>0</v>
      </c>
      <c r="AM55" s="90"/>
      <c r="AN55" s="95">
        <v>119</v>
      </c>
      <c r="AO55" s="96">
        <v>1</v>
      </c>
      <c r="AP55" s="96">
        <v>1</v>
      </c>
      <c r="AQ55" s="97"/>
      <c r="AR55" s="99">
        <f t="shared" ca="1" si="8"/>
        <v>0</v>
      </c>
      <c r="AS55" s="88">
        <f t="shared" si="12"/>
        <v>0</v>
      </c>
      <c r="AT55" s="88">
        <f>IF(main!$BE$35=1,1,0)</f>
        <v>0</v>
      </c>
      <c r="AU55" s="88">
        <f t="shared" ca="1" si="9"/>
        <v>0</v>
      </c>
      <c r="AV55" s="90"/>
      <c r="AW55" s="88">
        <v>9</v>
      </c>
      <c r="AX55" s="88" t="str">
        <f>IFERROR(VALUE(TEXT(VLOOKUP(AW55,RSIday!AN$7:AO$102,2,FALSE),"yymmdd")),"")</f>
        <v/>
      </c>
      <c r="AY55" s="88" t="e">
        <f t="shared" ca="1" si="10"/>
        <v>#NAME?</v>
      </c>
    </row>
    <row r="56" spans="1:51">
      <c r="A56" s="3"/>
      <c r="B56" s="3"/>
      <c r="C56" s="3"/>
      <c r="D56" s="3"/>
      <c r="E56" s="3"/>
      <c r="F56" s="62"/>
      <c r="H56" s="61"/>
      <c r="I56" s="57"/>
      <c r="AE56" s="95">
        <v>20</v>
      </c>
      <c r="AF56" s="96">
        <v>3</v>
      </c>
      <c r="AG56" s="96">
        <v>1</v>
      </c>
      <c r="AH56" s="88">
        <v>10</v>
      </c>
      <c r="AI56" s="97"/>
      <c r="AJ56" s="98">
        <f t="shared" ca="1" si="11"/>
        <v>0</v>
      </c>
      <c r="AK56" s="88">
        <f>IF(AND(main!BD$33=main!AH56,main!BE$33=1),1,0)</f>
        <v>0</v>
      </c>
      <c r="AL56" s="88">
        <f t="shared" ca="1" si="7"/>
        <v>0</v>
      </c>
      <c r="AM56" s="90"/>
      <c r="AN56" s="95">
        <v>120</v>
      </c>
      <c r="AO56" s="96">
        <v>1</v>
      </c>
      <c r="AP56" s="96">
        <v>1</v>
      </c>
      <c r="AQ56" s="97"/>
      <c r="AR56" s="99">
        <f t="shared" ca="1" si="8"/>
        <v>0</v>
      </c>
      <c r="AS56" s="88">
        <f t="shared" si="12"/>
        <v>0</v>
      </c>
      <c r="AT56" s="88">
        <f>IF(main!$BE$35=1,1,0)</f>
        <v>0</v>
      </c>
      <c r="AU56" s="88">
        <f t="shared" ca="1" si="9"/>
        <v>0</v>
      </c>
      <c r="AV56" s="90"/>
      <c r="AW56" s="88">
        <v>10</v>
      </c>
      <c r="AX56" s="88" t="str">
        <f>IFERROR(VALUE(TEXT(VLOOKUP(AW56,RSIday!AN$7:AO$102,2,FALSE),"yymmdd")),"")</f>
        <v/>
      </c>
      <c r="AY56" s="88" t="e">
        <f t="shared" ca="1" si="10"/>
        <v>#NAME?</v>
      </c>
    </row>
    <row r="57" spans="1:51">
      <c r="A57" s="3"/>
      <c r="B57" s="3"/>
      <c r="C57" s="3"/>
      <c r="D57" s="3"/>
      <c r="E57" s="3"/>
      <c r="F57" s="62"/>
      <c r="H57" s="61"/>
      <c r="I57" s="57"/>
    </row>
    <row r="58" spans="1:51">
      <c r="A58" s="3"/>
      <c r="B58" s="3"/>
      <c r="C58" s="3"/>
      <c r="D58" s="3"/>
      <c r="E58" s="3"/>
      <c r="F58" s="62"/>
      <c r="H58" s="61"/>
      <c r="I58" s="57"/>
    </row>
    <row r="59" spans="1:51">
      <c r="A59" s="3"/>
      <c r="B59" s="3"/>
      <c r="C59" s="3"/>
      <c r="D59" s="3"/>
      <c r="E59" s="3"/>
      <c r="F59" s="62"/>
      <c r="H59" s="61"/>
      <c r="I59" s="57"/>
    </row>
    <row r="60" spans="1:51">
      <c r="A60" s="3"/>
      <c r="B60" s="3"/>
      <c r="C60" s="3"/>
      <c r="D60" s="3"/>
      <c r="E60" s="3"/>
      <c r="F60" s="62"/>
      <c r="H60" s="61"/>
      <c r="I60" s="57"/>
      <c r="K60" s="51"/>
    </row>
    <row r="61" spans="1:51">
      <c r="A61" s="3"/>
      <c r="B61" s="3"/>
      <c r="C61" s="3"/>
      <c r="D61" s="3"/>
      <c r="E61" s="3"/>
      <c r="F61" s="62"/>
      <c r="H61" s="61"/>
      <c r="I61" s="57"/>
      <c r="AA61" s="2"/>
      <c r="AC61" s="54"/>
      <c r="AE61" s="2"/>
      <c r="AN61" s="2"/>
    </row>
    <row r="62" spans="1:51">
      <c r="A62" s="3"/>
      <c r="B62" s="3"/>
      <c r="C62" s="3"/>
      <c r="D62" s="3"/>
      <c r="E62" s="3"/>
      <c r="F62" s="62"/>
      <c r="H62" s="61"/>
      <c r="I62" s="57"/>
      <c r="AA62" s="4"/>
      <c r="AB62" s="19"/>
      <c r="AC62" s="8"/>
      <c r="AE62" s="19"/>
      <c r="AF62" s="19"/>
      <c r="AG62" s="19"/>
      <c r="AH62" s="19"/>
      <c r="AI62" s="20"/>
      <c r="AJ62" s="19"/>
      <c r="AK62" s="19"/>
      <c r="AL62" s="87"/>
      <c r="AN62" s="19"/>
      <c r="AO62" s="19"/>
      <c r="AP62" s="19"/>
      <c r="AQ62" s="20"/>
      <c r="AR62" s="19"/>
      <c r="AS62" s="53"/>
      <c r="AT62" s="19"/>
      <c r="AU62" s="87"/>
    </row>
    <row r="63" spans="1:51">
      <c r="A63" s="3"/>
      <c r="B63" s="3"/>
      <c r="C63" s="3"/>
      <c r="D63" s="3"/>
      <c r="E63" s="3"/>
      <c r="F63" s="62"/>
      <c r="H63" s="61"/>
      <c r="I63" s="57"/>
      <c r="AA63" s="4"/>
      <c r="AB63" s="19"/>
      <c r="AC63" s="8"/>
      <c r="AE63" s="5"/>
      <c r="AF63" s="4"/>
      <c r="AG63" s="4"/>
      <c r="AH63" s="4"/>
      <c r="AI63" s="128"/>
      <c r="AJ63" s="12"/>
      <c r="AK63" s="4"/>
      <c r="AL63" s="88"/>
      <c r="AN63" s="5"/>
      <c r="AO63" s="4"/>
      <c r="AP63" s="4"/>
      <c r="AQ63" s="128"/>
      <c r="AR63" s="12"/>
      <c r="AS63" s="14"/>
      <c r="AT63" s="4"/>
      <c r="AU63" s="88"/>
    </row>
    <row r="64" spans="1:51">
      <c r="A64" s="3"/>
      <c r="B64" s="3"/>
      <c r="C64" s="3"/>
      <c r="D64" s="3"/>
      <c r="E64" s="3"/>
      <c r="F64" s="62"/>
      <c r="H64" s="61"/>
      <c r="I64" s="57"/>
      <c r="AA64" s="4"/>
      <c r="AB64" s="19"/>
      <c r="AC64" s="39"/>
      <c r="AE64" s="52"/>
      <c r="AF64" s="85"/>
      <c r="AG64" s="85"/>
      <c r="AH64" s="4"/>
      <c r="AI64" s="86"/>
      <c r="AJ64" s="113"/>
      <c r="AK64" s="4"/>
      <c r="AL64" s="88"/>
      <c r="AN64" s="52"/>
      <c r="AO64" s="85"/>
      <c r="AP64" s="85"/>
      <c r="AQ64" s="86"/>
      <c r="AR64" s="114"/>
      <c r="AS64" s="4"/>
      <c r="AT64" s="4"/>
      <c r="AU64" s="88"/>
    </row>
    <row r="65" spans="1:47">
      <c r="A65" s="3"/>
      <c r="B65" s="3"/>
      <c r="C65" s="3"/>
      <c r="D65" s="3"/>
      <c r="E65" s="3"/>
      <c r="F65" s="62"/>
      <c r="H65" s="61"/>
      <c r="I65" s="57"/>
      <c r="AA65" s="4"/>
      <c r="AB65" s="19"/>
      <c r="AC65" s="39"/>
      <c r="AE65" s="52"/>
      <c r="AF65" s="85"/>
      <c r="AG65" s="85"/>
      <c r="AH65" s="4"/>
      <c r="AI65" s="86"/>
      <c r="AJ65" s="113"/>
      <c r="AK65" s="4"/>
      <c r="AL65" s="88"/>
      <c r="AN65" s="52"/>
      <c r="AO65" s="85"/>
      <c r="AP65" s="85"/>
      <c r="AQ65" s="86"/>
      <c r="AR65" s="114"/>
      <c r="AS65" s="4"/>
      <c r="AT65" s="4"/>
      <c r="AU65" s="88"/>
    </row>
    <row r="66" spans="1:47">
      <c r="A66" s="3"/>
      <c r="B66" s="3"/>
      <c r="C66" s="3"/>
      <c r="D66" s="3"/>
      <c r="E66" s="3"/>
      <c r="F66" s="62"/>
      <c r="H66" s="61"/>
      <c r="I66" s="57"/>
      <c r="AA66" s="14"/>
      <c r="AB66" s="19"/>
      <c r="AC66" s="40"/>
      <c r="AE66" s="52"/>
      <c r="AF66" s="85"/>
      <c r="AG66" s="85"/>
      <c r="AH66" s="4"/>
      <c r="AI66" s="86"/>
      <c r="AJ66" s="113"/>
      <c r="AK66" s="4"/>
      <c r="AL66" s="88"/>
      <c r="AN66" s="52"/>
      <c r="AO66" s="85"/>
      <c r="AP66" s="85"/>
      <c r="AQ66" s="86"/>
      <c r="AR66" s="114"/>
      <c r="AS66" s="4"/>
      <c r="AT66" s="4"/>
      <c r="AU66" s="88"/>
    </row>
    <row r="67" spans="1:47">
      <c r="A67" s="3"/>
      <c r="B67" s="3"/>
      <c r="C67" s="3"/>
      <c r="D67" s="3"/>
      <c r="E67" s="3"/>
      <c r="F67" s="62"/>
      <c r="H67" s="61"/>
      <c r="I67" s="57"/>
      <c r="AA67" s="14"/>
      <c r="AB67" s="19"/>
      <c r="AC67" s="40"/>
      <c r="AE67" s="52"/>
      <c r="AF67" s="85"/>
      <c r="AG67" s="85"/>
      <c r="AH67" s="4"/>
      <c r="AI67" s="86"/>
      <c r="AJ67" s="113"/>
      <c r="AK67" s="4"/>
      <c r="AL67" s="88"/>
      <c r="AN67" s="52"/>
      <c r="AO67" s="85"/>
      <c r="AP67" s="85"/>
      <c r="AQ67" s="86"/>
      <c r="AR67" s="114"/>
      <c r="AS67" s="4"/>
      <c r="AT67" s="4"/>
      <c r="AU67" s="88"/>
    </row>
    <row r="68" spans="1:47">
      <c r="A68" s="3"/>
      <c r="B68" s="3"/>
      <c r="C68" s="3"/>
      <c r="D68" s="3"/>
      <c r="E68" s="3"/>
      <c r="F68" s="62"/>
      <c r="H68" s="61"/>
      <c r="I68" s="57"/>
      <c r="AA68" s="14"/>
      <c r="AB68" s="19"/>
      <c r="AC68" s="39"/>
      <c r="AE68" s="52"/>
      <c r="AF68" s="85"/>
      <c r="AG68" s="85"/>
      <c r="AH68" s="4"/>
      <c r="AI68" s="86"/>
      <c r="AJ68" s="113"/>
      <c r="AK68" s="4"/>
      <c r="AL68" s="88"/>
      <c r="AN68" s="52"/>
      <c r="AO68" s="85"/>
      <c r="AP68" s="85"/>
      <c r="AQ68" s="86"/>
      <c r="AR68" s="114"/>
      <c r="AS68" s="4"/>
      <c r="AT68" s="4"/>
      <c r="AU68" s="88"/>
    </row>
    <row r="69" spans="1:47">
      <c r="A69" s="3"/>
      <c r="B69" s="3"/>
      <c r="C69" s="3"/>
      <c r="D69" s="3"/>
      <c r="E69" s="3"/>
      <c r="F69" s="62"/>
      <c r="H69" s="61"/>
      <c r="I69" s="57"/>
      <c r="AA69" s="14"/>
      <c r="AB69" s="84"/>
      <c r="AC69" s="116"/>
      <c r="AE69" s="52"/>
      <c r="AF69" s="85"/>
      <c r="AG69" s="85"/>
      <c r="AH69" s="4"/>
      <c r="AI69" s="86"/>
      <c r="AJ69" s="113"/>
      <c r="AK69" s="4"/>
      <c r="AL69" s="88"/>
      <c r="AN69" s="52"/>
      <c r="AO69" s="85"/>
      <c r="AP69" s="85"/>
      <c r="AQ69" s="86"/>
      <c r="AR69" s="114"/>
      <c r="AS69" s="4"/>
      <c r="AT69" s="4"/>
      <c r="AU69" s="88"/>
    </row>
    <row r="70" spans="1:47">
      <c r="A70" s="3"/>
      <c r="B70" s="3"/>
      <c r="C70" s="3"/>
      <c r="D70" s="3"/>
      <c r="E70" s="3"/>
      <c r="F70" s="62"/>
      <c r="H70" s="61"/>
      <c r="I70" s="57"/>
      <c r="AE70" s="52"/>
      <c r="AF70" s="85"/>
      <c r="AG70" s="85"/>
      <c r="AH70" s="4"/>
      <c r="AI70" s="86"/>
      <c r="AJ70" s="113"/>
      <c r="AK70" s="4"/>
      <c r="AL70" s="88"/>
      <c r="AN70" s="52"/>
      <c r="AO70" s="85"/>
      <c r="AP70" s="85"/>
      <c r="AQ70" s="86"/>
      <c r="AR70" s="114"/>
      <c r="AS70" s="4"/>
      <c r="AT70" s="4"/>
      <c r="AU70" s="88"/>
    </row>
    <row r="71" spans="1:47">
      <c r="A71" s="3"/>
      <c r="B71" s="3"/>
      <c r="C71" s="3"/>
      <c r="D71" s="3"/>
      <c r="E71" s="3"/>
      <c r="F71" s="62"/>
      <c r="H71" s="61"/>
      <c r="I71" s="57"/>
      <c r="AA71" s="4"/>
      <c r="AB71" s="19"/>
      <c r="AC71" s="10"/>
      <c r="AE71" s="52"/>
      <c r="AF71" s="85"/>
      <c r="AG71" s="85"/>
      <c r="AH71" s="4"/>
      <c r="AI71" s="86"/>
      <c r="AJ71" s="113"/>
      <c r="AK71" s="4"/>
      <c r="AL71" s="88"/>
      <c r="AN71" s="52"/>
      <c r="AO71" s="85"/>
      <c r="AP71" s="85"/>
      <c r="AQ71" s="86"/>
      <c r="AR71" s="114"/>
      <c r="AS71" s="4"/>
      <c r="AT71" s="4"/>
      <c r="AU71" s="88"/>
    </row>
    <row r="72" spans="1:47">
      <c r="A72" s="3"/>
      <c r="B72" s="3"/>
      <c r="C72" s="3"/>
      <c r="D72" s="3"/>
      <c r="E72" s="3"/>
      <c r="F72" s="62"/>
      <c r="H72" s="61"/>
      <c r="I72" s="57"/>
      <c r="AA72" s="14"/>
      <c r="AB72" s="41"/>
      <c r="AC72" s="13"/>
      <c r="AE72" s="52"/>
      <c r="AF72" s="85"/>
      <c r="AG72" s="85"/>
      <c r="AH72" s="4"/>
      <c r="AI72" s="86"/>
      <c r="AJ72" s="113"/>
      <c r="AK72" s="4"/>
      <c r="AL72" s="88"/>
      <c r="AN72" s="52"/>
      <c r="AO72" s="85"/>
      <c r="AP72" s="85"/>
      <c r="AQ72" s="86"/>
      <c r="AR72" s="114"/>
      <c r="AS72" s="4"/>
      <c r="AT72" s="4"/>
      <c r="AU72" s="88"/>
    </row>
    <row r="73" spans="1:47">
      <c r="A73" s="3"/>
      <c r="B73" s="3"/>
      <c r="C73" s="3"/>
      <c r="D73" s="3"/>
      <c r="E73" s="3"/>
      <c r="F73" s="62"/>
      <c r="H73" s="61"/>
      <c r="I73" s="57"/>
      <c r="AA73" s="76"/>
      <c r="AB73" s="20"/>
      <c r="AC73" s="83"/>
      <c r="AE73" s="52"/>
      <c r="AF73" s="85"/>
      <c r="AG73" s="85"/>
      <c r="AH73" s="4"/>
      <c r="AI73" s="86"/>
      <c r="AJ73" s="113"/>
      <c r="AK73" s="4"/>
      <c r="AL73" s="88"/>
      <c r="AN73" s="52"/>
      <c r="AO73" s="85"/>
      <c r="AP73" s="85"/>
      <c r="AQ73" s="86"/>
      <c r="AR73" s="114"/>
      <c r="AS73" s="4"/>
      <c r="AT73" s="4"/>
      <c r="AU73" s="88"/>
    </row>
    <row r="74" spans="1:47">
      <c r="A74" s="3"/>
      <c r="B74" s="3"/>
      <c r="C74" s="3"/>
      <c r="D74" s="3"/>
      <c r="E74" s="3"/>
      <c r="F74" s="62"/>
      <c r="H74" s="61"/>
      <c r="I74" s="57"/>
    </row>
    <row r="75" spans="1:47">
      <c r="A75" s="3"/>
      <c r="B75" s="3"/>
      <c r="C75" s="3"/>
      <c r="D75" s="3"/>
      <c r="E75" s="3"/>
      <c r="F75" s="62"/>
      <c r="H75" s="61"/>
      <c r="I75" s="57"/>
      <c r="AE75" s="2"/>
      <c r="AN75" s="2"/>
    </row>
    <row r="76" spans="1:47">
      <c r="A76" s="3"/>
      <c r="B76" s="3"/>
      <c r="C76" s="3"/>
      <c r="D76" s="3"/>
      <c r="E76" s="3"/>
      <c r="F76" s="62"/>
      <c r="H76" s="61"/>
      <c r="I76" s="57"/>
      <c r="AC76" s="15"/>
      <c r="AE76" s="19"/>
      <c r="AF76" s="19"/>
      <c r="AG76" s="19"/>
      <c r="AH76" s="19"/>
      <c r="AI76" s="20"/>
      <c r="AJ76" s="19"/>
      <c r="AK76" s="19"/>
      <c r="AL76" s="87"/>
      <c r="AN76" s="19"/>
      <c r="AO76" s="19"/>
      <c r="AP76" s="19"/>
      <c r="AQ76" s="20"/>
      <c r="AR76" s="19"/>
      <c r="AS76" s="53"/>
      <c r="AT76" s="19"/>
      <c r="AU76" s="87"/>
    </row>
    <row r="77" spans="1:47">
      <c r="F77" s="62"/>
      <c r="H77" s="61"/>
      <c r="I77" s="57"/>
      <c r="AC77" s="11"/>
      <c r="AE77" s="5"/>
      <c r="AF77" s="4"/>
      <c r="AG77" s="4"/>
      <c r="AH77" s="4"/>
      <c r="AI77" s="128"/>
      <c r="AJ77" s="12"/>
      <c r="AK77" s="4"/>
      <c r="AL77" s="88"/>
      <c r="AN77" s="5"/>
      <c r="AO77" s="4"/>
      <c r="AP77" s="4"/>
      <c r="AQ77" s="128"/>
      <c r="AR77" s="12"/>
      <c r="AS77" s="14"/>
      <c r="AT77" s="4"/>
      <c r="AU77" s="88"/>
    </row>
    <row r="78" spans="1:47">
      <c r="F78" s="62"/>
      <c r="H78" s="61"/>
      <c r="I78" s="57"/>
      <c r="AE78" s="52"/>
      <c r="AF78" s="85"/>
      <c r="AG78" s="85"/>
      <c r="AH78" s="4"/>
      <c r="AI78" s="86"/>
      <c r="AJ78" s="113"/>
      <c r="AK78" s="4"/>
      <c r="AL78" s="88"/>
      <c r="AN78" s="52"/>
      <c r="AO78" s="85"/>
      <c r="AP78" s="85"/>
      <c r="AQ78" s="86"/>
      <c r="AR78" s="114"/>
      <c r="AS78" s="4"/>
      <c r="AT78" s="4"/>
      <c r="AU78" s="88"/>
    </row>
    <row r="79" spans="1:47">
      <c r="F79" s="62"/>
      <c r="H79" s="61"/>
      <c r="I79" s="57"/>
      <c r="AE79" s="52"/>
      <c r="AF79" s="85"/>
      <c r="AG79" s="85"/>
      <c r="AH79" s="4"/>
      <c r="AI79" s="86"/>
      <c r="AJ79" s="113"/>
      <c r="AK79" s="4"/>
      <c r="AL79" s="88"/>
      <c r="AN79" s="52"/>
      <c r="AO79" s="85"/>
      <c r="AP79" s="85"/>
      <c r="AQ79" s="86"/>
      <c r="AR79" s="114"/>
      <c r="AS79" s="4"/>
      <c r="AT79" s="4"/>
      <c r="AU79" s="88"/>
    </row>
    <row r="80" spans="1:47">
      <c r="F80" s="62"/>
      <c r="H80" s="61"/>
      <c r="I80" s="57"/>
      <c r="AE80" s="52"/>
      <c r="AF80" s="85"/>
      <c r="AG80" s="85"/>
      <c r="AH80" s="4"/>
      <c r="AI80" s="86"/>
      <c r="AJ80" s="113"/>
      <c r="AK80" s="4"/>
      <c r="AL80" s="88"/>
      <c r="AN80" s="52"/>
      <c r="AO80" s="85"/>
      <c r="AP80" s="85"/>
      <c r="AQ80" s="86"/>
      <c r="AR80" s="114"/>
      <c r="AS80" s="4"/>
      <c r="AT80" s="4"/>
      <c r="AU80" s="88"/>
    </row>
    <row r="81" spans="6:47">
      <c r="F81" s="62"/>
      <c r="H81" s="61"/>
      <c r="I81" s="57"/>
      <c r="AE81" s="52"/>
      <c r="AF81" s="85"/>
      <c r="AG81" s="85"/>
      <c r="AH81" s="4"/>
      <c r="AI81" s="86"/>
      <c r="AJ81" s="113"/>
      <c r="AK81" s="4"/>
      <c r="AL81" s="88"/>
      <c r="AN81" s="52"/>
      <c r="AO81" s="85"/>
      <c r="AP81" s="85"/>
      <c r="AQ81" s="86"/>
      <c r="AR81" s="114"/>
      <c r="AS81" s="4"/>
      <c r="AT81" s="4"/>
      <c r="AU81" s="88"/>
    </row>
    <row r="82" spans="6:47">
      <c r="F82" s="62"/>
      <c r="H82" s="61"/>
      <c r="I82" s="57"/>
      <c r="AE82" s="52"/>
      <c r="AF82" s="85"/>
      <c r="AG82" s="85"/>
      <c r="AH82" s="4"/>
      <c r="AI82" s="86"/>
      <c r="AJ82" s="113"/>
      <c r="AK82" s="4"/>
      <c r="AL82" s="88"/>
      <c r="AN82" s="52"/>
      <c r="AO82" s="85"/>
      <c r="AP82" s="85"/>
      <c r="AQ82" s="86"/>
      <c r="AR82" s="114"/>
      <c r="AS82" s="4"/>
      <c r="AT82" s="4"/>
      <c r="AU82" s="88"/>
    </row>
    <row r="83" spans="6:47">
      <c r="F83" s="62"/>
      <c r="H83" s="61"/>
      <c r="I83" s="57"/>
      <c r="AE83" s="52"/>
      <c r="AF83" s="85"/>
      <c r="AG83" s="85"/>
      <c r="AH83" s="4"/>
      <c r="AI83" s="86"/>
      <c r="AJ83" s="113"/>
      <c r="AK83" s="4"/>
      <c r="AL83" s="88"/>
      <c r="AN83" s="52"/>
      <c r="AO83" s="85"/>
      <c r="AP83" s="85"/>
      <c r="AQ83" s="86"/>
      <c r="AR83" s="114"/>
      <c r="AS83" s="4"/>
      <c r="AT83" s="4"/>
      <c r="AU83" s="88"/>
    </row>
    <row r="84" spans="6:47">
      <c r="F84" s="62"/>
      <c r="H84" s="61"/>
      <c r="I84" s="57"/>
      <c r="AE84" s="52"/>
      <c r="AF84" s="85"/>
      <c r="AG84" s="85"/>
      <c r="AH84" s="4"/>
      <c r="AI84" s="86"/>
      <c r="AJ84" s="113"/>
      <c r="AK84" s="4"/>
      <c r="AL84" s="88"/>
      <c r="AN84" s="52"/>
      <c r="AO84" s="85"/>
      <c r="AP84" s="85"/>
      <c r="AQ84" s="86"/>
      <c r="AR84" s="114"/>
      <c r="AS84" s="4"/>
      <c r="AT84" s="4"/>
      <c r="AU84" s="88"/>
    </row>
    <row r="85" spans="6:47">
      <c r="F85" s="62"/>
      <c r="H85" s="61"/>
      <c r="I85" s="57"/>
      <c r="AE85" s="52"/>
      <c r="AF85" s="85"/>
      <c r="AG85" s="85"/>
      <c r="AH85" s="4"/>
      <c r="AI85" s="86"/>
      <c r="AJ85" s="113"/>
      <c r="AK85" s="4"/>
      <c r="AL85" s="88"/>
      <c r="AN85" s="52"/>
      <c r="AO85" s="85"/>
      <c r="AP85" s="85"/>
      <c r="AQ85" s="86"/>
      <c r="AR85" s="114"/>
      <c r="AS85" s="4"/>
      <c r="AT85" s="4"/>
      <c r="AU85" s="88"/>
    </row>
    <row r="86" spans="6:47">
      <c r="F86" s="62"/>
      <c r="H86" s="61"/>
      <c r="I86" s="57"/>
      <c r="AE86" s="52"/>
      <c r="AF86" s="85"/>
      <c r="AG86" s="85"/>
      <c r="AH86" s="4"/>
      <c r="AI86" s="86"/>
      <c r="AJ86" s="113"/>
      <c r="AK86" s="4"/>
      <c r="AL86" s="88"/>
      <c r="AN86" s="52"/>
      <c r="AO86" s="85"/>
      <c r="AP86" s="85"/>
      <c r="AQ86" s="86"/>
      <c r="AR86" s="114"/>
      <c r="AS86" s="4"/>
      <c r="AT86" s="4"/>
      <c r="AU86" s="88"/>
    </row>
    <row r="87" spans="6:47">
      <c r="F87" s="62"/>
      <c r="H87" s="61"/>
      <c r="I87" s="57"/>
      <c r="AE87" s="52"/>
      <c r="AF87" s="85"/>
      <c r="AG87" s="85"/>
      <c r="AH87" s="4"/>
      <c r="AI87" s="86"/>
      <c r="AJ87" s="113"/>
      <c r="AK87" s="4"/>
      <c r="AL87" s="88"/>
      <c r="AN87" s="52"/>
      <c r="AO87" s="85"/>
      <c r="AP87" s="85"/>
      <c r="AQ87" s="86"/>
      <c r="AR87" s="114"/>
      <c r="AS87" s="4"/>
      <c r="AT87" s="4"/>
      <c r="AU87" s="88"/>
    </row>
    <row r="88" spans="6:47">
      <c r="F88" s="62"/>
      <c r="H88" s="61"/>
      <c r="I88" s="57"/>
    </row>
    <row r="89" spans="6:47">
      <c r="F89" s="62"/>
      <c r="H89" s="61"/>
      <c r="I89" s="57"/>
    </row>
    <row r="90" spans="6:47">
      <c r="F90" s="62"/>
      <c r="H90" s="61"/>
      <c r="I90" s="57"/>
    </row>
    <row r="91" spans="6:47">
      <c r="F91" s="62"/>
      <c r="H91" s="61"/>
      <c r="I91" s="57"/>
      <c r="AA91" s="2"/>
      <c r="AC91" s="54"/>
      <c r="AE91" s="2"/>
      <c r="AN91" s="2"/>
    </row>
    <row r="92" spans="6:47">
      <c r="F92" s="62"/>
      <c r="H92" s="61"/>
      <c r="I92" s="57"/>
      <c r="AA92" s="4"/>
      <c r="AB92" s="19"/>
      <c r="AC92" s="95"/>
      <c r="AE92" s="19"/>
      <c r="AF92" s="19"/>
      <c r="AG92" s="19"/>
      <c r="AH92" s="19"/>
      <c r="AI92" s="20"/>
      <c r="AJ92" s="19"/>
      <c r="AK92" s="19"/>
      <c r="AL92" s="87"/>
      <c r="AN92" s="19"/>
      <c r="AO92" s="19"/>
      <c r="AP92" s="19"/>
      <c r="AQ92" s="20"/>
      <c r="AR92" s="19"/>
      <c r="AS92" s="53"/>
      <c r="AT92" s="19"/>
      <c r="AU92" s="87"/>
    </row>
    <row r="93" spans="6:47">
      <c r="F93" s="62"/>
      <c r="H93" s="61"/>
      <c r="I93" s="57"/>
      <c r="AA93" s="4"/>
      <c r="AB93" s="19"/>
      <c r="AC93" s="95"/>
      <c r="AE93" s="5"/>
      <c r="AF93" s="4"/>
      <c r="AG93" s="4"/>
      <c r="AH93" s="4"/>
      <c r="AI93" s="128"/>
      <c r="AJ93" s="12"/>
      <c r="AK93" s="4"/>
      <c r="AL93" s="88"/>
      <c r="AN93" s="5"/>
      <c r="AO93" s="4"/>
      <c r="AP93" s="4"/>
      <c r="AQ93" s="128"/>
      <c r="AR93" s="12"/>
      <c r="AS93" s="14"/>
      <c r="AT93" s="4"/>
      <c r="AU93" s="88"/>
    </row>
    <row r="94" spans="6:47">
      <c r="F94" s="62"/>
      <c r="H94" s="61"/>
      <c r="I94" s="57"/>
      <c r="AA94" s="4"/>
      <c r="AB94" s="19"/>
      <c r="AC94" s="39"/>
      <c r="AE94" s="52"/>
      <c r="AF94" s="85"/>
      <c r="AG94" s="85"/>
      <c r="AH94" s="4"/>
      <c r="AI94" s="86"/>
      <c r="AJ94" s="113"/>
      <c r="AK94" s="4"/>
      <c r="AL94" s="88"/>
      <c r="AN94" s="52"/>
      <c r="AO94" s="85"/>
      <c r="AP94" s="85"/>
      <c r="AQ94" s="86"/>
      <c r="AR94" s="114"/>
      <c r="AS94" s="4"/>
      <c r="AT94" s="4"/>
      <c r="AU94" s="88"/>
    </row>
    <row r="95" spans="6:47">
      <c r="F95" s="62"/>
      <c r="H95" s="61"/>
      <c r="I95" s="57"/>
      <c r="AA95" s="4"/>
      <c r="AB95" s="19"/>
      <c r="AC95" s="39"/>
      <c r="AE95" s="52"/>
      <c r="AF95" s="85"/>
      <c r="AG95" s="85"/>
      <c r="AH95" s="4"/>
      <c r="AI95" s="86"/>
      <c r="AJ95" s="113"/>
      <c r="AK95" s="4"/>
      <c r="AL95" s="88"/>
      <c r="AN95" s="52"/>
      <c r="AO95" s="85"/>
      <c r="AP95" s="85"/>
      <c r="AQ95" s="86"/>
      <c r="AR95" s="114"/>
      <c r="AS95" s="4"/>
      <c r="AT95" s="4"/>
      <c r="AU95" s="88"/>
    </row>
    <row r="96" spans="6:47">
      <c r="F96" s="62"/>
      <c r="H96" s="61"/>
      <c r="I96" s="57"/>
      <c r="AA96" s="14"/>
      <c r="AB96" s="19"/>
      <c r="AC96" s="40"/>
      <c r="AE96" s="52"/>
      <c r="AF96" s="85"/>
      <c r="AG96" s="85"/>
      <c r="AH96" s="4"/>
      <c r="AI96" s="86"/>
      <c r="AJ96" s="113"/>
      <c r="AK96" s="4"/>
      <c r="AL96" s="88"/>
      <c r="AN96" s="52"/>
      <c r="AO96" s="85"/>
      <c r="AP96" s="85"/>
      <c r="AQ96" s="86"/>
      <c r="AR96" s="114"/>
      <c r="AS96" s="4"/>
      <c r="AT96" s="4"/>
      <c r="AU96" s="88"/>
    </row>
    <row r="97" spans="1:47">
      <c r="F97" s="62"/>
      <c r="H97" s="61"/>
      <c r="I97" s="57"/>
      <c r="AA97" s="14"/>
      <c r="AB97" s="19"/>
      <c r="AC97" s="40"/>
      <c r="AE97" s="52"/>
      <c r="AF97" s="85"/>
      <c r="AG97" s="85"/>
      <c r="AH97" s="4"/>
      <c r="AI97" s="86"/>
      <c r="AJ97" s="113"/>
      <c r="AK97" s="4"/>
      <c r="AL97" s="88"/>
      <c r="AN97" s="52"/>
      <c r="AO97" s="85"/>
      <c r="AP97" s="85"/>
      <c r="AQ97" s="86"/>
      <c r="AR97" s="114"/>
      <c r="AS97" s="4"/>
      <c r="AT97" s="4"/>
      <c r="AU97" s="88"/>
    </row>
    <row r="98" spans="1:47">
      <c r="F98" s="62"/>
      <c r="H98" s="61"/>
      <c r="I98" s="57"/>
      <c r="AA98" s="14"/>
      <c r="AB98" s="19"/>
      <c r="AC98" s="39"/>
      <c r="AE98" s="52"/>
      <c r="AF98" s="85"/>
      <c r="AG98" s="85"/>
      <c r="AH98" s="4"/>
      <c r="AI98" s="86"/>
      <c r="AJ98" s="113"/>
      <c r="AK98" s="4"/>
      <c r="AL98" s="88"/>
      <c r="AN98" s="52"/>
      <c r="AO98" s="85"/>
      <c r="AP98" s="85"/>
      <c r="AQ98" s="86"/>
      <c r="AR98" s="114"/>
      <c r="AS98" s="4"/>
      <c r="AT98" s="4"/>
      <c r="AU98" s="88"/>
    </row>
    <row r="99" spans="1:47">
      <c r="F99" s="62"/>
      <c r="H99" s="61"/>
      <c r="I99" s="57"/>
      <c r="AA99" s="14"/>
      <c r="AB99" s="84"/>
      <c r="AC99" s="116"/>
      <c r="AE99" s="52"/>
      <c r="AF99" s="85"/>
      <c r="AG99" s="85"/>
      <c r="AH99" s="4"/>
      <c r="AI99" s="86"/>
      <c r="AJ99" s="113"/>
      <c r="AK99" s="4"/>
      <c r="AL99" s="88"/>
      <c r="AN99" s="52"/>
      <c r="AO99" s="85"/>
      <c r="AP99" s="85"/>
      <c r="AQ99" s="86"/>
      <c r="AR99" s="114"/>
      <c r="AS99" s="4"/>
      <c r="AT99" s="4"/>
      <c r="AU99" s="88"/>
    </row>
    <row r="100" spans="1:47">
      <c r="F100" s="62"/>
      <c r="H100" s="61"/>
      <c r="I100" s="57"/>
      <c r="AE100" s="52"/>
      <c r="AF100" s="85"/>
      <c r="AG100" s="85"/>
      <c r="AH100" s="4"/>
      <c r="AI100" s="86"/>
      <c r="AJ100" s="113"/>
      <c r="AK100" s="4"/>
      <c r="AL100" s="88"/>
      <c r="AN100" s="52"/>
      <c r="AO100" s="85"/>
      <c r="AP100" s="85"/>
      <c r="AQ100" s="86"/>
      <c r="AR100" s="114"/>
      <c r="AS100" s="4"/>
      <c r="AT100" s="4"/>
      <c r="AU100" s="88"/>
    </row>
    <row r="101" spans="1:47">
      <c r="F101" s="62"/>
      <c r="H101" s="61"/>
      <c r="I101" s="57"/>
      <c r="AA101" s="4"/>
      <c r="AB101" s="19"/>
      <c r="AC101" s="10"/>
      <c r="AE101" s="52"/>
      <c r="AF101" s="85"/>
      <c r="AG101" s="85"/>
      <c r="AH101" s="4"/>
      <c r="AI101" s="86"/>
      <c r="AJ101" s="113"/>
      <c r="AK101" s="4"/>
      <c r="AL101" s="88"/>
      <c r="AN101" s="52"/>
      <c r="AO101" s="85"/>
      <c r="AP101" s="85"/>
      <c r="AQ101" s="86"/>
      <c r="AR101" s="114"/>
      <c r="AS101" s="4"/>
      <c r="AT101" s="4"/>
      <c r="AU101" s="88"/>
    </row>
    <row r="102" spans="1:47">
      <c r="B102" s="124"/>
      <c r="C102" s="124"/>
      <c r="D102" s="124"/>
      <c r="E102" s="124"/>
      <c r="F102" s="62"/>
      <c r="H102" s="61"/>
      <c r="I102" s="57"/>
      <c r="AA102" s="14"/>
      <c r="AB102" s="41"/>
      <c r="AC102" s="13"/>
      <c r="AE102" s="52"/>
      <c r="AF102" s="85"/>
      <c r="AG102" s="85"/>
      <c r="AH102" s="4"/>
      <c r="AI102" s="86"/>
      <c r="AJ102" s="113"/>
      <c r="AK102" s="4"/>
      <c r="AL102" s="88"/>
      <c r="AN102" s="52"/>
      <c r="AO102" s="85"/>
      <c r="AP102" s="85"/>
      <c r="AQ102" s="86"/>
      <c r="AR102" s="114"/>
      <c r="AS102" s="4"/>
      <c r="AT102" s="4"/>
      <c r="AU102" s="88"/>
    </row>
    <row r="103" spans="1:47">
      <c r="B103" s="3"/>
      <c r="C103" s="3"/>
      <c r="D103" s="3"/>
      <c r="E103" s="3"/>
      <c r="F103" s="63"/>
      <c r="H103" s="61"/>
      <c r="I103" s="57"/>
      <c r="AA103" s="76"/>
      <c r="AB103" s="20"/>
      <c r="AC103" s="83"/>
      <c r="AE103" s="52"/>
      <c r="AF103" s="85"/>
      <c r="AG103" s="85"/>
      <c r="AH103" s="4"/>
      <c r="AI103" s="86"/>
      <c r="AJ103" s="113"/>
      <c r="AK103" s="4"/>
      <c r="AL103" s="88"/>
      <c r="AN103" s="52"/>
      <c r="AO103" s="85"/>
      <c r="AP103" s="85"/>
      <c r="AQ103" s="86"/>
      <c r="AR103" s="114"/>
      <c r="AS103" s="4"/>
      <c r="AT103" s="4"/>
      <c r="AU103" s="88"/>
    </row>
    <row r="104" spans="1:47">
      <c r="A104" s="3"/>
      <c r="B104" s="3"/>
      <c r="C104" s="3"/>
      <c r="D104" s="3"/>
      <c r="E104" s="3"/>
      <c r="F104" s="3"/>
      <c r="H104" s="61"/>
      <c r="I104" s="57"/>
    </row>
    <row r="105" spans="1:47">
      <c r="H105" s="61"/>
      <c r="I105" s="57"/>
      <c r="AE105" s="2"/>
      <c r="AN105" s="2"/>
    </row>
    <row r="106" spans="1:47">
      <c r="H106" s="61"/>
      <c r="I106" s="57"/>
      <c r="AC106" s="15"/>
      <c r="AE106" s="19"/>
      <c r="AF106" s="19"/>
      <c r="AG106" s="19"/>
      <c r="AH106" s="19"/>
      <c r="AI106" s="20"/>
      <c r="AJ106" s="19"/>
      <c r="AK106" s="19"/>
      <c r="AL106" s="87"/>
      <c r="AN106" s="19"/>
      <c r="AO106" s="19"/>
      <c r="AP106" s="19"/>
      <c r="AQ106" s="20"/>
      <c r="AR106" s="19"/>
      <c r="AS106" s="53"/>
      <c r="AT106" s="19"/>
      <c r="AU106" s="87"/>
    </row>
    <row r="107" spans="1:47">
      <c r="H107" s="61"/>
      <c r="I107" s="57"/>
      <c r="AC107" s="11"/>
      <c r="AE107" s="5"/>
      <c r="AF107" s="4"/>
      <c r="AG107" s="4"/>
      <c r="AH107" s="4"/>
      <c r="AI107" s="128"/>
      <c r="AJ107" s="12"/>
      <c r="AK107" s="4"/>
      <c r="AL107" s="88"/>
      <c r="AN107" s="5"/>
      <c r="AO107" s="4"/>
      <c r="AP107" s="4"/>
      <c r="AQ107" s="128"/>
      <c r="AR107" s="12"/>
      <c r="AS107" s="14"/>
      <c r="AT107" s="4"/>
      <c r="AU107" s="88"/>
    </row>
    <row r="108" spans="1:47">
      <c r="H108" s="61"/>
      <c r="I108" s="57"/>
      <c r="AE108" s="52"/>
      <c r="AF108" s="85"/>
      <c r="AG108" s="85"/>
      <c r="AH108" s="4"/>
      <c r="AI108" s="86"/>
      <c r="AJ108" s="113"/>
      <c r="AK108" s="4"/>
      <c r="AL108" s="88"/>
      <c r="AN108" s="52"/>
      <c r="AO108" s="85"/>
      <c r="AP108" s="85"/>
      <c r="AQ108" s="86"/>
      <c r="AR108" s="114"/>
      <c r="AS108" s="4"/>
      <c r="AT108" s="4"/>
      <c r="AU108" s="88"/>
    </row>
    <row r="109" spans="1:47">
      <c r="H109" s="61"/>
      <c r="I109" s="57"/>
      <c r="AE109" s="52"/>
      <c r="AF109" s="85"/>
      <c r="AG109" s="85"/>
      <c r="AH109" s="4"/>
      <c r="AI109" s="86"/>
      <c r="AJ109" s="113"/>
      <c r="AK109" s="4"/>
      <c r="AL109" s="88"/>
      <c r="AN109" s="52"/>
      <c r="AO109" s="85"/>
      <c r="AP109" s="85"/>
      <c r="AQ109" s="86"/>
      <c r="AR109" s="114"/>
      <c r="AS109" s="4"/>
      <c r="AT109" s="4"/>
      <c r="AU109" s="88"/>
    </row>
    <row r="110" spans="1:47">
      <c r="H110" s="61"/>
      <c r="I110" s="57"/>
      <c r="AE110" s="52"/>
      <c r="AF110" s="85"/>
      <c r="AG110" s="85"/>
      <c r="AH110" s="4"/>
      <c r="AI110" s="86"/>
      <c r="AJ110" s="113"/>
      <c r="AK110" s="4"/>
      <c r="AL110" s="88"/>
      <c r="AN110" s="52"/>
      <c r="AO110" s="85"/>
      <c r="AP110" s="85"/>
      <c r="AQ110" s="86"/>
      <c r="AR110" s="114"/>
      <c r="AS110" s="4"/>
      <c r="AT110" s="4"/>
      <c r="AU110" s="88"/>
    </row>
    <row r="111" spans="1:47">
      <c r="H111" s="61"/>
      <c r="I111" s="57"/>
      <c r="AE111" s="52"/>
      <c r="AF111" s="85"/>
      <c r="AG111" s="85"/>
      <c r="AH111" s="4"/>
      <c r="AI111" s="86"/>
      <c r="AJ111" s="113"/>
      <c r="AK111" s="4"/>
      <c r="AL111" s="88"/>
      <c r="AN111" s="52"/>
      <c r="AO111" s="85"/>
      <c r="AP111" s="85"/>
      <c r="AQ111" s="86"/>
      <c r="AR111" s="114"/>
      <c r="AS111" s="4"/>
      <c r="AT111" s="4"/>
      <c r="AU111" s="88"/>
    </row>
    <row r="112" spans="1:47">
      <c r="H112" s="61"/>
      <c r="I112" s="57"/>
      <c r="AE112" s="52"/>
      <c r="AF112" s="85"/>
      <c r="AG112" s="85"/>
      <c r="AH112" s="4"/>
      <c r="AI112" s="86"/>
      <c r="AJ112" s="113"/>
      <c r="AK112" s="4"/>
      <c r="AL112" s="88"/>
      <c r="AN112" s="52"/>
      <c r="AO112" s="85"/>
      <c r="AP112" s="85"/>
      <c r="AQ112" s="86"/>
      <c r="AR112" s="114"/>
      <c r="AS112" s="4"/>
      <c r="AT112" s="4"/>
      <c r="AU112" s="88"/>
    </row>
    <row r="113" spans="8:47">
      <c r="H113" s="61"/>
      <c r="I113" s="57"/>
      <c r="AE113" s="52"/>
      <c r="AF113" s="85"/>
      <c r="AG113" s="85"/>
      <c r="AH113" s="4"/>
      <c r="AI113" s="86"/>
      <c r="AJ113" s="113"/>
      <c r="AK113" s="4"/>
      <c r="AL113" s="88"/>
      <c r="AN113" s="52"/>
      <c r="AO113" s="85"/>
      <c r="AP113" s="85"/>
      <c r="AQ113" s="86"/>
      <c r="AR113" s="114"/>
      <c r="AS113" s="4"/>
      <c r="AT113" s="4"/>
      <c r="AU113" s="88"/>
    </row>
    <row r="114" spans="8:47">
      <c r="H114" s="61"/>
      <c r="I114" s="57"/>
      <c r="AE114" s="52"/>
      <c r="AF114" s="85"/>
      <c r="AG114" s="85"/>
      <c r="AH114" s="4"/>
      <c r="AI114" s="86"/>
      <c r="AJ114" s="113"/>
      <c r="AK114" s="4"/>
      <c r="AL114" s="88"/>
      <c r="AN114" s="52"/>
      <c r="AO114" s="85"/>
      <c r="AP114" s="85"/>
      <c r="AQ114" s="86"/>
      <c r="AR114" s="114"/>
      <c r="AS114" s="4"/>
      <c r="AT114" s="4"/>
      <c r="AU114" s="88"/>
    </row>
    <row r="115" spans="8:47">
      <c r="H115" s="61"/>
      <c r="I115" s="57"/>
      <c r="AE115" s="52"/>
      <c r="AF115" s="85"/>
      <c r="AG115" s="85"/>
      <c r="AH115" s="4"/>
      <c r="AI115" s="86"/>
      <c r="AJ115" s="113"/>
      <c r="AK115" s="4"/>
      <c r="AL115" s="88"/>
      <c r="AN115" s="52"/>
      <c r="AO115" s="85"/>
      <c r="AP115" s="85"/>
      <c r="AQ115" s="86"/>
      <c r="AR115" s="114"/>
      <c r="AS115" s="4"/>
      <c r="AT115" s="4"/>
      <c r="AU115" s="88"/>
    </row>
    <row r="116" spans="8:47">
      <c r="H116" s="61"/>
      <c r="I116" s="57"/>
      <c r="AE116" s="52"/>
      <c r="AF116" s="85"/>
      <c r="AG116" s="85"/>
      <c r="AH116" s="4"/>
      <c r="AI116" s="86"/>
      <c r="AJ116" s="113"/>
      <c r="AK116" s="4"/>
      <c r="AL116" s="88"/>
      <c r="AN116" s="52"/>
      <c r="AO116" s="85"/>
      <c r="AP116" s="85"/>
      <c r="AQ116" s="86"/>
      <c r="AR116" s="114"/>
      <c r="AS116" s="4"/>
      <c r="AT116" s="4"/>
      <c r="AU116" s="88"/>
    </row>
    <row r="117" spans="8:47">
      <c r="H117" s="61"/>
      <c r="I117" s="57"/>
      <c r="AE117" s="52"/>
      <c r="AF117" s="85"/>
      <c r="AG117" s="85"/>
      <c r="AH117" s="4"/>
      <c r="AI117" s="86"/>
      <c r="AJ117" s="113"/>
      <c r="AK117" s="4"/>
      <c r="AL117" s="88"/>
      <c r="AN117" s="52"/>
      <c r="AO117" s="85"/>
      <c r="AP117" s="85"/>
      <c r="AQ117" s="86"/>
      <c r="AR117" s="114"/>
      <c r="AS117" s="4"/>
      <c r="AT117" s="4"/>
      <c r="AU117" s="88"/>
    </row>
    <row r="118" spans="8:47">
      <c r="H118" s="61"/>
      <c r="I118" s="57"/>
    </row>
    <row r="119" spans="8:47">
      <c r="H119" s="61"/>
      <c r="I119" s="57"/>
    </row>
    <row r="120" spans="8:47">
      <c r="H120" s="61"/>
      <c r="I120" s="57"/>
    </row>
    <row r="121" spans="8:47">
      <c r="H121" s="61"/>
      <c r="I121" s="57"/>
      <c r="AA121" s="2"/>
      <c r="AC121" s="54"/>
      <c r="AE121" s="2"/>
      <c r="AN121" s="2"/>
    </row>
    <row r="122" spans="8:47">
      <c r="H122" s="61"/>
      <c r="I122" s="57"/>
      <c r="AA122" s="4"/>
      <c r="AB122" s="19"/>
      <c r="AC122" s="95"/>
      <c r="AE122" s="19"/>
      <c r="AF122" s="19"/>
      <c r="AG122" s="19"/>
      <c r="AH122" s="19"/>
      <c r="AI122" s="20"/>
      <c r="AJ122" s="19"/>
      <c r="AK122" s="19"/>
      <c r="AL122" s="87"/>
      <c r="AN122" s="19"/>
      <c r="AO122" s="19"/>
      <c r="AP122" s="19"/>
      <c r="AQ122" s="20"/>
      <c r="AR122" s="19"/>
      <c r="AS122" s="53"/>
      <c r="AT122" s="19"/>
      <c r="AU122" s="87"/>
    </row>
    <row r="123" spans="8:47">
      <c r="H123" s="61"/>
      <c r="I123" s="57"/>
      <c r="AA123" s="4"/>
      <c r="AB123" s="19"/>
      <c r="AC123" s="95"/>
      <c r="AE123" s="5"/>
      <c r="AF123" s="4"/>
      <c r="AG123" s="4"/>
      <c r="AH123" s="4"/>
      <c r="AI123" s="128"/>
      <c r="AJ123" s="12"/>
      <c r="AK123" s="4"/>
      <c r="AL123" s="88"/>
      <c r="AN123" s="5"/>
      <c r="AO123" s="4"/>
      <c r="AP123" s="4"/>
      <c r="AQ123" s="128"/>
      <c r="AR123" s="12"/>
      <c r="AS123" s="14"/>
      <c r="AT123" s="4"/>
      <c r="AU123" s="88"/>
    </row>
    <row r="124" spans="8:47">
      <c r="H124" s="61"/>
      <c r="I124" s="57"/>
      <c r="AA124" s="4"/>
      <c r="AB124" s="19"/>
      <c r="AC124" s="39"/>
      <c r="AE124" s="52"/>
      <c r="AF124" s="85"/>
      <c r="AG124" s="85"/>
      <c r="AH124" s="4"/>
      <c r="AI124" s="86"/>
      <c r="AJ124" s="113"/>
      <c r="AK124" s="4"/>
      <c r="AL124" s="88"/>
      <c r="AN124" s="52"/>
      <c r="AO124" s="85"/>
      <c r="AP124" s="85"/>
      <c r="AQ124" s="86"/>
      <c r="AR124" s="114"/>
      <c r="AS124" s="4"/>
      <c r="AT124" s="4"/>
      <c r="AU124" s="88"/>
    </row>
    <row r="125" spans="8:47">
      <c r="H125" s="61"/>
      <c r="I125" s="57"/>
      <c r="AA125" s="4"/>
      <c r="AB125" s="19"/>
      <c r="AC125" s="39"/>
      <c r="AE125" s="52"/>
      <c r="AF125" s="85"/>
      <c r="AG125" s="85"/>
      <c r="AH125" s="4"/>
      <c r="AI125" s="86"/>
      <c r="AJ125" s="113"/>
      <c r="AK125" s="4"/>
      <c r="AL125" s="88"/>
      <c r="AN125" s="52"/>
      <c r="AO125" s="85"/>
      <c r="AP125" s="85"/>
      <c r="AQ125" s="86"/>
      <c r="AR125" s="114"/>
      <c r="AS125" s="4"/>
      <c r="AT125" s="4"/>
      <c r="AU125" s="88"/>
    </row>
    <row r="126" spans="8:47">
      <c r="H126" s="61"/>
      <c r="I126" s="57"/>
      <c r="AA126" s="14"/>
      <c r="AB126" s="19"/>
      <c r="AC126" s="40"/>
      <c r="AE126" s="52"/>
      <c r="AF126" s="85"/>
      <c r="AG126" s="85"/>
      <c r="AH126" s="4"/>
      <c r="AI126" s="86"/>
      <c r="AJ126" s="113"/>
      <c r="AK126" s="4"/>
      <c r="AL126" s="88"/>
      <c r="AN126" s="52"/>
      <c r="AO126" s="85"/>
      <c r="AP126" s="85"/>
      <c r="AQ126" s="86"/>
      <c r="AR126" s="114"/>
      <c r="AS126" s="4"/>
      <c r="AT126" s="4"/>
      <c r="AU126" s="88"/>
    </row>
    <row r="127" spans="8:47">
      <c r="H127" s="61"/>
      <c r="I127" s="57"/>
      <c r="AA127" s="14"/>
      <c r="AB127" s="19"/>
      <c r="AC127" s="40"/>
      <c r="AE127" s="52"/>
      <c r="AF127" s="85"/>
      <c r="AG127" s="85"/>
      <c r="AH127" s="4"/>
      <c r="AI127" s="86"/>
      <c r="AJ127" s="113"/>
      <c r="AK127" s="4"/>
      <c r="AL127" s="88"/>
      <c r="AN127" s="52"/>
      <c r="AO127" s="85"/>
      <c r="AP127" s="85"/>
      <c r="AQ127" s="86"/>
      <c r="AR127" s="114"/>
      <c r="AS127" s="4"/>
      <c r="AT127" s="4"/>
      <c r="AU127" s="88"/>
    </row>
    <row r="128" spans="8:47">
      <c r="H128" s="61"/>
      <c r="I128" s="57"/>
      <c r="AA128" s="14"/>
      <c r="AB128" s="19"/>
      <c r="AC128" s="39"/>
      <c r="AE128" s="52"/>
      <c r="AF128" s="85"/>
      <c r="AG128" s="85"/>
      <c r="AH128" s="4"/>
      <c r="AI128" s="86"/>
      <c r="AJ128" s="113"/>
      <c r="AK128" s="4"/>
      <c r="AL128" s="88"/>
      <c r="AN128" s="52"/>
      <c r="AO128" s="85"/>
      <c r="AP128" s="85"/>
      <c r="AQ128" s="86"/>
      <c r="AR128" s="114"/>
      <c r="AS128" s="4"/>
      <c r="AT128" s="4"/>
      <c r="AU128" s="88"/>
    </row>
    <row r="129" spans="8:47">
      <c r="H129" s="61"/>
      <c r="I129" s="57"/>
      <c r="AA129" s="14"/>
      <c r="AB129" s="84"/>
      <c r="AC129" s="116"/>
      <c r="AE129" s="52"/>
      <c r="AF129" s="85"/>
      <c r="AG129" s="85"/>
      <c r="AH129" s="4"/>
      <c r="AI129" s="86"/>
      <c r="AJ129" s="113"/>
      <c r="AK129" s="4"/>
      <c r="AL129" s="88"/>
      <c r="AN129" s="52"/>
      <c r="AO129" s="85"/>
      <c r="AP129" s="85"/>
      <c r="AQ129" s="86"/>
      <c r="AR129" s="114"/>
      <c r="AS129" s="4"/>
      <c r="AT129" s="4"/>
      <c r="AU129" s="88"/>
    </row>
    <row r="130" spans="8:47">
      <c r="H130" s="61"/>
      <c r="I130" s="57"/>
      <c r="AE130" s="52"/>
      <c r="AF130" s="85"/>
      <c r="AG130" s="85"/>
      <c r="AH130" s="4"/>
      <c r="AI130" s="86"/>
      <c r="AJ130" s="113"/>
      <c r="AK130" s="4"/>
      <c r="AL130" s="88"/>
      <c r="AN130" s="52"/>
      <c r="AO130" s="85"/>
      <c r="AP130" s="85"/>
      <c r="AQ130" s="86"/>
      <c r="AR130" s="114"/>
      <c r="AS130" s="4"/>
      <c r="AT130" s="4"/>
      <c r="AU130" s="88"/>
    </row>
    <row r="131" spans="8:47">
      <c r="H131" s="61"/>
      <c r="I131" s="57"/>
      <c r="AA131" s="4"/>
      <c r="AB131" s="19"/>
      <c r="AC131" s="10"/>
      <c r="AE131" s="52"/>
      <c r="AF131" s="85"/>
      <c r="AG131" s="85"/>
      <c r="AH131" s="4"/>
      <c r="AI131" s="86"/>
      <c r="AJ131" s="113"/>
      <c r="AK131" s="4"/>
      <c r="AL131" s="88"/>
      <c r="AN131" s="52"/>
      <c r="AO131" s="85"/>
      <c r="AP131" s="85"/>
      <c r="AQ131" s="86"/>
      <c r="AR131" s="114"/>
      <c r="AS131" s="4"/>
      <c r="AT131" s="4"/>
      <c r="AU131" s="88"/>
    </row>
    <row r="132" spans="8:47">
      <c r="H132" s="61"/>
      <c r="I132" s="57"/>
      <c r="AA132" s="14"/>
      <c r="AB132" s="41"/>
      <c r="AC132" s="13"/>
      <c r="AE132" s="52"/>
      <c r="AF132" s="85"/>
      <c r="AG132" s="85"/>
      <c r="AH132" s="4"/>
      <c r="AI132" s="86"/>
      <c r="AJ132" s="113"/>
      <c r="AK132" s="4"/>
      <c r="AL132" s="88"/>
      <c r="AN132" s="52"/>
      <c r="AO132" s="85"/>
      <c r="AP132" s="85"/>
      <c r="AQ132" s="86"/>
      <c r="AR132" s="114"/>
      <c r="AS132" s="4"/>
      <c r="AT132" s="4"/>
      <c r="AU132" s="88"/>
    </row>
    <row r="133" spans="8:47">
      <c r="H133" s="61"/>
      <c r="I133" s="57"/>
      <c r="AA133" s="76"/>
      <c r="AB133" s="20"/>
      <c r="AC133" s="83"/>
      <c r="AE133" s="52"/>
      <c r="AF133" s="85"/>
      <c r="AG133" s="85"/>
      <c r="AH133" s="4"/>
      <c r="AI133" s="86"/>
      <c r="AJ133" s="113"/>
      <c r="AK133" s="4"/>
      <c r="AL133" s="88"/>
      <c r="AN133" s="52"/>
      <c r="AO133" s="85"/>
      <c r="AP133" s="85"/>
      <c r="AQ133" s="86"/>
      <c r="AR133" s="114"/>
      <c r="AS133" s="4"/>
      <c r="AT133" s="4"/>
      <c r="AU133" s="88"/>
    </row>
    <row r="134" spans="8:47">
      <c r="H134" s="61"/>
      <c r="I134" s="57"/>
    </row>
    <row r="135" spans="8:47">
      <c r="H135" s="61"/>
      <c r="I135" s="57"/>
      <c r="AE135" s="2"/>
      <c r="AN135" s="2"/>
    </row>
    <row r="136" spans="8:47">
      <c r="H136" s="61"/>
      <c r="I136" s="57"/>
      <c r="AC136" s="15"/>
      <c r="AE136" s="19"/>
      <c r="AF136" s="19"/>
      <c r="AG136" s="19"/>
      <c r="AH136" s="19"/>
      <c r="AI136" s="20"/>
      <c r="AJ136" s="19"/>
      <c r="AK136" s="19"/>
      <c r="AL136" s="87"/>
      <c r="AN136" s="19"/>
      <c r="AO136" s="19"/>
      <c r="AP136" s="19"/>
      <c r="AQ136" s="20"/>
      <c r="AR136" s="19"/>
      <c r="AS136" s="53"/>
      <c r="AT136" s="19"/>
      <c r="AU136" s="87"/>
    </row>
    <row r="137" spans="8:47">
      <c r="H137" s="61"/>
      <c r="I137" s="57"/>
      <c r="AC137" s="11"/>
      <c r="AE137" s="5"/>
      <c r="AF137" s="4"/>
      <c r="AG137" s="4"/>
      <c r="AH137" s="4"/>
      <c r="AI137" s="128"/>
      <c r="AJ137" s="12"/>
      <c r="AK137" s="4"/>
      <c r="AL137" s="88"/>
      <c r="AN137" s="5"/>
      <c r="AO137" s="4"/>
      <c r="AP137" s="4"/>
      <c r="AQ137" s="128"/>
      <c r="AR137" s="12"/>
      <c r="AS137" s="14"/>
      <c r="AT137" s="4"/>
      <c r="AU137" s="88"/>
    </row>
    <row r="138" spans="8:47">
      <c r="H138" s="61"/>
      <c r="I138" s="57"/>
      <c r="AE138" s="52"/>
      <c r="AF138" s="85"/>
      <c r="AG138" s="85"/>
      <c r="AH138" s="4"/>
      <c r="AI138" s="86"/>
      <c r="AJ138" s="113"/>
      <c r="AK138" s="4"/>
      <c r="AL138" s="88"/>
      <c r="AN138" s="52"/>
      <c r="AO138" s="85"/>
      <c r="AP138" s="85"/>
      <c r="AQ138" s="86"/>
      <c r="AR138" s="114"/>
      <c r="AS138" s="4"/>
      <c r="AT138" s="4"/>
      <c r="AU138" s="88"/>
    </row>
    <row r="139" spans="8:47">
      <c r="H139" s="61"/>
      <c r="I139" s="57"/>
      <c r="AE139" s="52"/>
      <c r="AF139" s="85"/>
      <c r="AG139" s="85"/>
      <c r="AH139" s="4"/>
      <c r="AI139" s="86"/>
      <c r="AJ139" s="113"/>
      <c r="AK139" s="4"/>
      <c r="AL139" s="88"/>
      <c r="AN139" s="52"/>
      <c r="AO139" s="85"/>
      <c r="AP139" s="85"/>
      <c r="AQ139" s="86"/>
      <c r="AR139" s="114"/>
      <c r="AS139" s="4"/>
      <c r="AT139" s="4"/>
      <c r="AU139" s="88"/>
    </row>
    <row r="140" spans="8:47">
      <c r="H140" s="61"/>
      <c r="I140" s="57"/>
      <c r="AE140" s="52"/>
      <c r="AF140" s="85"/>
      <c r="AG140" s="85"/>
      <c r="AH140" s="4"/>
      <c r="AI140" s="86"/>
      <c r="AJ140" s="113"/>
      <c r="AK140" s="4"/>
      <c r="AL140" s="88"/>
      <c r="AN140" s="52"/>
      <c r="AO140" s="85"/>
      <c r="AP140" s="85"/>
      <c r="AQ140" s="86"/>
      <c r="AR140" s="114"/>
      <c r="AS140" s="4"/>
      <c r="AT140" s="4"/>
      <c r="AU140" s="88"/>
    </row>
    <row r="141" spans="8:47">
      <c r="H141" s="61"/>
      <c r="I141" s="57"/>
      <c r="AE141" s="52"/>
      <c r="AF141" s="85"/>
      <c r="AG141" s="85"/>
      <c r="AH141" s="4"/>
      <c r="AI141" s="86"/>
      <c r="AJ141" s="113"/>
      <c r="AK141" s="4"/>
      <c r="AL141" s="88"/>
      <c r="AN141" s="52"/>
      <c r="AO141" s="85"/>
      <c r="AP141" s="85"/>
      <c r="AQ141" s="86"/>
      <c r="AR141" s="114"/>
      <c r="AS141" s="4"/>
      <c r="AT141" s="4"/>
      <c r="AU141" s="88"/>
    </row>
    <row r="142" spans="8:47">
      <c r="H142" s="61"/>
      <c r="I142" s="57"/>
      <c r="AE142" s="52"/>
      <c r="AF142" s="85"/>
      <c r="AG142" s="85"/>
      <c r="AH142" s="4"/>
      <c r="AI142" s="86"/>
      <c r="AJ142" s="113"/>
      <c r="AK142" s="4"/>
      <c r="AL142" s="88"/>
      <c r="AN142" s="52"/>
      <c r="AO142" s="85"/>
      <c r="AP142" s="85"/>
      <c r="AQ142" s="86"/>
      <c r="AR142" s="114"/>
      <c r="AS142" s="4"/>
      <c r="AT142" s="4"/>
      <c r="AU142" s="88"/>
    </row>
    <row r="143" spans="8:47">
      <c r="H143" s="61"/>
      <c r="I143" s="57"/>
      <c r="AE143" s="52"/>
      <c r="AF143" s="85"/>
      <c r="AG143" s="85"/>
      <c r="AH143" s="4"/>
      <c r="AI143" s="86"/>
      <c r="AJ143" s="113"/>
      <c r="AK143" s="4"/>
      <c r="AL143" s="88"/>
      <c r="AN143" s="52"/>
      <c r="AO143" s="85"/>
      <c r="AP143" s="85"/>
      <c r="AQ143" s="86"/>
      <c r="AR143" s="114"/>
      <c r="AS143" s="4"/>
      <c r="AT143" s="4"/>
      <c r="AU143" s="88"/>
    </row>
    <row r="144" spans="8:47">
      <c r="H144" s="61"/>
      <c r="I144" s="57"/>
      <c r="AE144" s="52"/>
      <c r="AF144" s="85"/>
      <c r="AG144" s="85"/>
      <c r="AH144" s="4"/>
      <c r="AI144" s="86"/>
      <c r="AJ144" s="113"/>
      <c r="AK144" s="4"/>
      <c r="AL144" s="88"/>
      <c r="AN144" s="52"/>
      <c r="AO144" s="85"/>
      <c r="AP144" s="85"/>
      <c r="AQ144" s="86"/>
      <c r="AR144" s="114"/>
      <c r="AS144" s="4"/>
      <c r="AT144" s="4"/>
      <c r="AU144" s="88"/>
    </row>
    <row r="145" spans="8:47">
      <c r="H145" s="61"/>
      <c r="I145" s="57"/>
      <c r="AE145" s="52"/>
      <c r="AF145" s="85"/>
      <c r="AG145" s="85"/>
      <c r="AH145" s="4"/>
      <c r="AI145" s="86"/>
      <c r="AJ145" s="113"/>
      <c r="AK145" s="4"/>
      <c r="AL145" s="88"/>
      <c r="AN145" s="52"/>
      <c r="AO145" s="85"/>
      <c r="AP145" s="85"/>
      <c r="AQ145" s="86"/>
      <c r="AR145" s="114"/>
      <c r="AS145" s="4"/>
      <c r="AT145" s="4"/>
      <c r="AU145" s="88"/>
    </row>
    <row r="146" spans="8:47">
      <c r="H146" s="61"/>
      <c r="I146" s="57"/>
      <c r="AE146" s="52"/>
      <c r="AF146" s="85"/>
      <c r="AG146" s="85"/>
      <c r="AH146" s="4"/>
      <c r="AI146" s="86"/>
      <c r="AJ146" s="113"/>
      <c r="AK146" s="4"/>
      <c r="AL146" s="88"/>
      <c r="AN146" s="52"/>
      <c r="AO146" s="85"/>
      <c r="AP146" s="85"/>
      <c r="AQ146" s="86"/>
      <c r="AR146" s="114"/>
      <c r="AS146" s="4"/>
      <c r="AT146" s="4"/>
      <c r="AU146" s="88"/>
    </row>
    <row r="147" spans="8:47">
      <c r="H147" s="61"/>
      <c r="I147" s="57"/>
      <c r="AE147" s="52"/>
      <c r="AF147" s="85"/>
      <c r="AG147" s="85"/>
      <c r="AH147" s="4"/>
      <c r="AI147" s="86"/>
      <c r="AJ147" s="113"/>
      <c r="AK147" s="4"/>
      <c r="AL147" s="88"/>
      <c r="AN147" s="52"/>
      <c r="AO147" s="85"/>
      <c r="AP147" s="85"/>
      <c r="AQ147" s="86"/>
      <c r="AR147" s="114"/>
      <c r="AS147" s="4"/>
      <c r="AT147" s="4"/>
      <c r="AU147" s="88"/>
    </row>
    <row r="148" spans="8:47">
      <c r="H148" s="61"/>
      <c r="I148" s="57"/>
    </row>
    <row r="149" spans="8:47">
      <c r="H149" s="61"/>
      <c r="I149" s="57"/>
    </row>
    <row r="150" spans="8:47">
      <c r="H150" s="61"/>
      <c r="I150" s="57"/>
    </row>
    <row r="151" spans="8:47">
      <c r="H151" s="61"/>
      <c r="I151" s="57"/>
      <c r="AA151" s="2"/>
      <c r="AC151" s="54"/>
      <c r="AE151" s="2"/>
      <c r="AN151" s="2"/>
    </row>
    <row r="152" spans="8:47">
      <c r="H152" s="61"/>
      <c r="I152" s="57"/>
      <c r="AA152" s="4"/>
      <c r="AB152" s="19"/>
      <c r="AC152" s="95"/>
      <c r="AE152" s="19"/>
      <c r="AF152" s="19"/>
      <c r="AG152" s="19"/>
      <c r="AH152" s="19"/>
      <c r="AI152" s="20"/>
      <c r="AJ152" s="19"/>
      <c r="AK152" s="19"/>
      <c r="AL152" s="87"/>
      <c r="AN152" s="19"/>
      <c r="AO152" s="19"/>
      <c r="AP152" s="19"/>
      <c r="AQ152" s="20"/>
      <c r="AR152" s="19"/>
      <c r="AS152" s="53"/>
      <c r="AT152" s="19"/>
      <c r="AU152" s="87"/>
    </row>
    <row r="153" spans="8:47">
      <c r="H153" s="61"/>
      <c r="I153" s="57"/>
      <c r="AA153" s="4"/>
      <c r="AB153" s="19"/>
      <c r="AC153" s="95"/>
      <c r="AE153" s="5"/>
      <c r="AF153" s="4"/>
      <c r="AG153" s="4"/>
      <c r="AH153" s="4"/>
      <c r="AI153" s="128"/>
      <c r="AJ153" s="12"/>
      <c r="AK153" s="4"/>
      <c r="AL153" s="88"/>
      <c r="AN153" s="5"/>
      <c r="AO153" s="4"/>
      <c r="AP153" s="4"/>
      <c r="AQ153" s="128"/>
      <c r="AR153" s="12"/>
      <c r="AS153" s="14"/>
      <c r="AT153" s="4"/>
      <c r="AU153" s="88"/>
    </row>
    <row r="154" spans="8:47">
      <c r="H154" s="61"/>
      <c r="I154" s="57"/>
      <c r="AA154" s="4"/>
      <c r="AB154" s="19"/>
      <c r="AC154" s="39"/>
      <c r="AE154" s="52"/>
      <c r="AF154" s="85"/>
      <c r="AG154" s="85"/>
      <c r="AH154" s="4"/>
      <c r="AI154" s="86"/>
      <c r="AJ154" s="113"/>
      <c r="AK154" s="4"/>
      <c r="AL154" s="88"/>
      <c r="AN154" s="52"/>
      <c r="AO154" s="85"/>
      <c r="AP154" s="85"/>
      <c r="AQ154" s="86"/>
      <c r="AR154" s="114"/>
      <c r="AS154" s="4"/>
      <c r="AT154" s="4"/>
      <c r="AU154" s="88"/>
    </row>
    <row r="155" spans="8:47">
      <c r="H155" s="61"/>
      <c r="I155" s="57"/>
      <c r="AA155" s="4"/>
      <c r="AB155" s="19"/>
      <c r="AC155" s="39"/>
      <c r="AE155" s="52"/>
      <c r="AF155" s="85"/>
      <c r="AG155" s="85"/>
      <c r="AH155" s="4"/>
      <c r="AI155" s="86"/>
      <c r="AJ155" s="113"/>
      <c r="AK155" s="4"/>
      <c r="AL155" s="88"/>
      <c r="AN155" s="52"/>
      <c r="AO155" s="85"/>
      <c r="AP155" s="85"/>
      <c r="AQ155" s="86"/>
      <c r="AR155" s="114"/>
      <c r="AS155" s="4"/>
      <c r="AT155" s="4"/>
      <c r="AU155" s="88"/>
    </row>
    <row r="156" spans="8:47">
      <c r="H156" s="61"/>
      <c r="I156" s="57"/>
      <c r="AA156" s="14"/>
      <c r="AB156" s="19"/>
      <c r="AC156" s="40"/>
      <c r="AE156" s="52"/>
      <c r="AF156" s="85"/>
      <c r="AG156" s="85"/>
      <c r="AH156" s="4"/>
      <c r="AI156" s="86"/>
      <c r="AJ156" s="113"/>
      <c r="AK156" s="4"/>
      <c r="AL156" s="88"/>
      <c r="AN156" s="52"/>
      <c r="AO156" s="85"/>
      <c r="AP156" s="85"/>
      <c r="AQ156" s="86"/>
      <c r="AR156" s="114"/>
      <c r="AS156" s="4"/>
      <c r="AT156" s="4"/>
      <c r="AU156" s="88"/>
    </row>
    <row r="157" spans="8:47">
      <c r="H157" s="61"/>
      <c r="I157" s="57"/>
      <c r="AA157" s="14"/>
      <c r="AB157" s="19"/>
      <c r="AC157" s="40"/>
      <c r="AE157" s="52"/>
      <c r="AF157" s="85"/>
      <c r="AG157" s="85"/>
      <c r="AH157" s="4"/>
      <c r="AI157" s="86"/>
      <c r="AJ157" s="113"/>
      <c r="AK157" s="4"/>
      <c r="AL157" s="88"/>
      <c r="AN157" s="52"/>
      <c r="AO157" s="85"/>
      <c r="AP157" s="85"/>
      <c r="AQ157" s="86"/>
      <c r="AR157" s="114"/>
      <c r="AS157" s="4"/>
      <c r="AT157" s="4"/>
      <c r="AU157" s="88"/>
    </row>
    <row r="158" spans="8:47">
      <c r="H158" s="61"/>
      <c r="I158" s="57"/>
      <c r="AA158" s="14"/>
      <c r="AB158" s="19"/>
      <c r="AC158" s="39"/>
      <c r="AE158" s="52"/>
      <c r="AF158" s="85"/>
      <c r="AG158" s="85"/>
      <c r="AH158" s="4"/>
      <c r="AI158" s="86"/>
      <c r="AJ158" s="113"/>
      <c r="AK158" s="4"/>
      <c r="AL158" s="88"/>
      <c r="AN158" s="52"/>
      <c r="AO158" s="85"/>
      <c r="AP158" s="85"/>
      <c r="AQ158" s="86"/>
      <c r="AR158" s="114"/>
      <c r="AS158" s="4"/>
      <c r="AT158" s="4"/>
      <c r="AU158" s="88"/>
    </row>
    <row r="159" spans="8:47">
      <c r="H159" s="61"/>
      <c r="I159" s="57"/>
      <c r="AA159" s="14"/>
      <c r="AB159" s="84"/>
      <c r="AC159" s="116"/>
      <c r="AE159" s="52"/>
      <c r="AF159" s="85"/>
      <c r="AG159" s="85"/>
      <c r="AH159" s="4"/>
      <c r="AI159" s="86"/>
      <c r="AJ159" s="113"/>
      <c r="AK159" s="4"/>
      <c r="AL159" s="88"/>
      <c r="AN159" s="52"/>
      <c r="AO159" s="85"/>
      <c r="AP159" s="85"/>
      <c r="AQ159" s="86"/>
      <c r="AR159" s="114"/>
      <c r="AS159" s="4"/>
      <c r="AT159" s="4"/>
      <c r="AU159" s="88"/>
    </row>
    <row r="160" spans="8:47">
      <c r="H160" s="61"/>
      <c r="I160" s="57"/>
      <c r="AE160" s="52"/>
      <c r="AF160" s="85"/>
      <c r="AG160" s="85"/>
      <c r="AH160" s="4"/>
      <c r="AI160" s="86"/>
      <c r="AJ160" s="113"/>
      <c r="AK160" s="4"/>
      <c r="AL160" s="88"/>
      <c r="AN160" s="52"/>
      <c r="AO160" s="85"/>
      <c r="AP160" s="85"/>
      <c r="AQ160" s="86"/>
      <c r="AR160" s="114"/>
      <c r="AS160" s="4"/>
      <c r="AT160" s="4"/>
      <c r="AU160" s="88"/>
    </row>
    <row r="161" spans="8:47">
      <c r="H161" s="61"/>
      <c r="I161" s="57"/>
      <c r="AA161" s="4"/>
      <c r="AB161" s="19"/>
      <c r="AC161" s="10"/>
      <c r="AE161" s="52"/>
      <c r="AF161" s="85"/>
      <c r="AG161" s="85"/>
      <c r="AH161" s="4"/>
      <c r="AI161" s="86"/>
      <c r="AJ161" s="113"/>
      <c r="AK161" s="4"/>
      <c r="AL161" s="88"/>
      <c r="AN161" s="52"/>
      <c r="AO161" s="85"/>
      <c r="AP161" s="85"/>
      <c r="AQ161" s="86"/>
      <c r="AR161" s="114"/>
      <c r="AS161" s="4"/>
      <c r="AT161" s="4"/>
      <c r="AU161" s="88"/>
    </row>
    <row r="162" spans="8:47">
      <c r="H162" s="61"/>
      <c r="I162" s="57"/>
      <c r="AA162" s="14"/>
      <c r="AB162" s="41"/>
      <c r="AC162" s="13"/>
      <c r="AE162" s="52"/>
      <c r="AF162" s="85"/>
      <c r="AG162" s="85"/>
      <c r="AH162" s="4"/>
      <c r="AI162" s="86"/>
      <c r="AJ162" s="113"/>
      <c r="AK162" s="4"/>
      <c r="AL162" s="88"/>
      <c r="AN162" s="52"/>
      <c r="AO162" s="85"/>
      <c r="AP162" s="85"/>
      <c r="AQ162" s="86"/>
      <c r="AR162" s="114"/>
      <c r="AS162" s="4"/>
      <c r="AT162" s="4"/>
      <c r="AU162" s="88"/>
    </row>
    <row r="163" spans="8:47">
      <c r="H163" s="61"/>
      <c r="I163" s="57"/>
      <c r="AA163" s="76"/>
      <c r="AB163" s="20"/>
      <c r="AC163" s="83"/>
      <c r="AE163" s="52"/>
      <c r="AF163" s="85"/>
      <c r="AG163" s="85"/>
      <c r="AH163" s="4"/>
      <c r="AI163" s="86"/>
      <c r="AJ163" s="113"/>
      <c r="AK163" s="4"/>
      <c r="AL163" s="88"/>
      <c r="AN163" s="52"/>
      <c r="AO163" s="85"/>
      <c r="AP163" s="85"/>
      <c r="AQ163" s="86"/>
      <c r="AR163" s="114"/>
      <c r="AS163" s="4"/>
      <c r="AT163" s="4"/>
      <c r="AU163" s="88"/>
    </row>
    <row r="164" spans="8:47">
      <c r="H164" s="61"/>
      <c r="I164" s="57"/>
    </row>
    <row r="165" spans="8:47">
      <c r="H165" s="61"/>
      <c r="I165" s="57"/>
      <c r="AE165" s="2"/>
      <c r="AN165" s="2"/>
    </row>
    <row r="166" spans="8:47">
      <c r="H166" s="61"/>
      <c r="I166" s="57"/>
      <c r="AC166" s="15"/>
      <c r="AE166" s="19"/>
      <c r="AF166" s="19"/>
      <c r="AG166" s="19"/>
      <c r="AH166" s="19"/>
      <c r="AI166" s="20"/>
      <c r="AJ166" s="19"/>
      <c r="AK166" s="19"/>
      <c r="AL166" s="87"/>
      <c r="AN166" s="19"/>
      <c r="AO166" s="19"/>
      <c r="AP166" s="19"/>
      <c r="AQ166" s="20"/>
      <c r="AR166" s="19"/>
      <c r="AS166" s="53"/>
      <c r="AT166" s="19"/>
      <c r="AU166" s="87"/>
    </row>
    <row r="167" spans="8:47">
      <c r="H167" s="61"/>
      <c r="I167" s="57"/>
      <c r="AC167" s="11"/>
      <c r="AE167" s="5"/>
      <c r="AF167" s="4"/>
      <c r="AG167" s="4"/>
      <c r="AH167" s="4"/>
      <c r="AI167" s="128"/>
      <c r="AJ167" s="12"/>
      <c r="AK167" s="4"/>
      <c r="AL167" s="88"/>
      <c r="AN167" s="5"/>
      <c r="AO167" s="4"/>
      <c r="AP167" s="4"/>
      <c r="AQ167" s="128"/>
      <c r="AR167" s="12"/>
      <c r="AS167" s="14"/>
      <c r="AT167" s="4"/>
      <c r="AU167" s="88"/>
    </row>
    <row r="168" spans="8:47">
      <c r="H168" s="61"/>
      <c r="I168" s="57"/>
      <c r="AE168" s="52"/>
      <c r="AF168" s="85"/>
      <c r="AG168" s="85"/>
      <c r="AH168" s="4"/>
      <c r="AI168" s="86"/>
      <c r="AJ168" s="113"/>
      <c r="AK168" s="4"/>
      <c r="AL168" s="88"/>
      <c r="AN168" s="52"/>
      <c r="AO168" s="85"/>
      <c r="AP168" s="85"/>
      <c r="AQ168" s="86"/>
      <c r="AR168" s="114"/>
      <c r="AS168" s="4"/>
      <c r="AT168" s="4"/>
      <c r="AU168" s="88"/>
    </row>
    <row r="169" spans="8:47">
      <c r="H169" s="61"/>
      <c r="I169" s="57"/>
      <c r="AE169" s="52"/>
      <c r="AF169" s="85"/>
      <c r="AG169" s="85"/>
      <c r="AH169" s="4"/>
      <c r="AI169" s="86"/>
      <c r="AJ169" s="113"/>
      <c r="AK169" s="4"/>
      <c r="AL169" s="88"/>
      <c r="AN169" s="52"/>
      <c r="AO169" s="85"/>
      <c r="AP169" s="85"/>
      <c r="AQ169" s="86"/>
      <c r="AR169" s="114"/>
      <c r="AS169" s="4"/>
      <c r="AT169" s="4"/>
      <c r="AU169" s="88"/>
    </row>
    <row r="170" spans="8:47">
      <c r="H170" s="61"/>
      <c r="I170" s="57"/>
      <c r="AE170" s="52"/>
      <c r="AF170" s="85"/>
      <c r="AG170" s="85"/>
      <c r="AH170" s="4"/>
      <c r="AI170" s="86"/>
      <c r="AJ170" s="113"/>
      <c r="AK170" s="4"/>
      <c r="AL170" s="88"/>
      <c r="AN170" s="52"/>
      <c r="AO170" s="85"/>
      <c r="AP170" s="85"/>
      <c r="AQ170" s="86"/>
      <c r="AR170" s="114"/>
      <c r="AS170" s="4"/>
      <c r="AT170" s="4"/>
      <c r="AU170" s="88"/>
    </row>
    <row r="171" spans="8:47">
      <c r="H171" s="61"/>
      <c r="I171" s="57"/>
      <c r="AE171" s="52"/>
      <c r="AF171" s="85"/>
      <c r="AG171" s="85"/>
      <c r="AH171" s="4"/>
      <c r="AI171" s="86"/>
      <c r="AJ171" s="113"/>
      <c r="AK171" s="4"/>
      <c r="AL171" s="88"/>
      <c r="AN171" s="52"/>
      <c r="AO171" s="85"/>
      <c r="AP171" s="85"/>
      <c r="AQ171" s="86"/>
      <c r="AR171" s="114"/>
      <c r="AS171" s="4"/>
      <c r="AT171" s="4"/>
      <c r="AU171" s="88"/>
    </row>
    <row r="172" spans="8:47">
      <c r="H172" s="61"/>
      <c r="I172" s="57"/>
      <c r="AE172" s="52"/>
      <c r="AF172" s="85"/>
      <c r="AG172" s="85"/>
      <c r="AH172" s="4"/>
      <c r="AI172" s="86"/>
      <c r="AJ172" s="113"/>
      <c r="AK172" s="4"/>
      <c r="AL172" s="88"/>
      <c r="AN172" s="52"/>
      <c r="AO172" s="85"/>
      <c r="AP172" s="85"/>
      <c r="AQ172" s="86"/>
      <c r="AR172" s="114"/>
      <c r="AS172" s="4"/>
      <c r="AT172" s="4"/>
      <c r="AU172" s="88"/>
    </row>
    <row r="173" spans="8:47">
      <c r="H173" s="61"/>
      <c r="I173" s="57"/>
      <c r="AE173" s="52"/>
      <c r="AF173" s="85"/>
      <c r="AG173" s="85"/>
      <c r="AH173" s="4"/>
      <c r="AI173" s="86"/>
      <c r="AJ173" s="113"/>
      <c r="AK173" s="4"/>
      <c r="AL173" s="88"/>
      <c r="AN173" s="52"/>
      <c r="AO173" s="85"/>
      <c r="AP173" s="85"/>
      <c r="AQ173" s="86"/>
      <c r="AR173" s="114"/>
      <c r="AS173" s="4"/>
      <c r="AT173" s="4"/>
      <c r="AU173" s="88"/>
    </row>
    <row r="174" spans="8:47">
      <c r="H174" s="61"/>
      <c r="I174" s="57"/>
      <c r="AE174" s="52"/>
      <c r="AF174" s="85"/>
      <c r="AG174" s="85"/>
      <c r="AH174" s="4"/>
      <c r="AI174" s="86"/>
      <c r="AJ174" s="113"/>
      <c r="AK174" s="4"/>
      <c r="AL174" s="88"/>
      <c r="AN174" s="52"/>
      <c r="AO174" s="85"/>
      <c r="AP174" s="85"/>
      <c r="AQ174" s="86"/>
      <c r="AR174" s="114"/>
      <c r="AS174" s="4"/>
      <c r="AT174" s="4"/>
      <c r="AU174" s="88"/>
    </row>
    <row r="175" spans="8:47">
      <c r="H175" s="61"/>
      <c r="I175" s="57"/>
      <c r="AE175" s="52"/>
      <c r="AF175" s="85"/>
      <c r="AG175" s="85"/>
      <c r="AH175" s="4"/>
      <c r="AI175" s="86"/>
      <c r="AJ175" s="113"/>
      <c r="AK175" s="4"/>
      <c r="AL175" s="88"/>
      <c r="AN175" s="52"/>
      <c r="AO175" s="85"/>
      <c r="AP175" s="85"/>
      <c r="AQ175" s="86"/>
      <c r="AR175" s="114"/>
      <c r="AS175" s="4"/>
      <c r="AT175" s="4"/>
      <c r="AU175" s="88"/>
    </row>
    <row r="176" spans="8:47">
      <c r="H176" s="61"/>
      <c r="I176" s="57"/>
      <c r="AE176" s="52"/>
      <c r="AF176" s="85"/>
      <c r="AG176" s="85"/>
      <c r="AH176" s="4"/>
      <c r="AI176" s="86"/>
      <c r="AJ176" s="113"/>
      <c r="AK176" s="4"/>
      <c r="AL176" s="88"/>
      <c r="AN176" s="52"/>
      <c r="AO176" s="85"/>
      <c r="AP176" s="85"/>
      <c r="AQ176" s="86"/>
      <c r="AR176" s="114"/>
      <c r="AS176" s="4"/>
      <c r="AT176" s="4"/>
      <c r="AU176" s="88"/>
    </row>
    <row r="177" spans="8:47">
      <c r="H177" s="61"/>
      <c r="I177" s="57"/>
      <c r="AE177" s="52"/>
      <c r="AF177" s="85"/>
      <c r="AG177" s="85"/>
      <c r="AH177" s="4"/>
      <c r="AI177" s="86"/>
      <c r="AJ177" s="113"/>
      <c r="AK177" s="4"/>
      <c r="AL177" s="88"/>
      <c r="AN177" s="52"/>
      <c r="AO177" s="85"/>
      <c r="AP177" s="85"/>
      <c r="AQ177" s="86"/>
      <c r="AR177" s="114"/>
      <c r="AS177" s="4"/>
      <c r="AT177" s="4"/>
      <c r="AU177" s="88"/>
    </row>
    <row r="178" spans="8:47">
      <c r="H178" s="61"/>
      <c r="I178" s="22"/>
    </row>
    <row r="179" spans="8:47">
      <c r="H179" s="61"/>
      <c r="I179" s="22"/>
    </row>
    <row r="180" spans="8:47">
      <c r="H180" s="61"/>
      <c r="I180" s="22"/>
    </row>
    <row r="181" spans="8:47">
      <c r="H181" s="61"/>
      <c r="I181" s="22"/>
    </row>
    <row r="182" spans="8:47">
      <c r="H182" s="61"/>
      <c r="I182" s="22"/>
    </row>
    <row r="183" spans="8:47">
      <c r="H183" s="61"/>
      <c r="I183" s="22"/>
    </row>
    <row r="184" spans="8:47">
      <c r="H184" s="61"/>
      <c r="I184" s="22"/>
    </row>
    <row r="185" spans="8:47">
      <c r="H185" s="61"/>
      <c r="I185" s="22"/>
    </row>
    <row r="186" spans="8:47">
      <c r="H186" s="61"/>
      <c r="I186" s="22"/>
    </row>
    <row r="187" spans="8:47">
      <c r="H187" s="61"/>
      <c r="I187" s="22"/>
    </row>
    <row r="188" spans="8:47">
      <c r="H188" s="61"/>
      <c r="I188" s="22"/>
    </row>
    <row r="189" spans="8:47">
      <c r="H189" s="61"/>
      <c r="I189" s="22"/>
    </row>
    <row r="190" spans="8:47">
      <c r="H190" s="61"/>
      <c r="I190" s="22"/>
    </row>
    <row r="191" spans="8:47">
      <c r="H191" s="61"/>
      <c r="I191" s="22"/>
    </row>
    <row r="192" spans="8:47">
      <c r="H192" s="61"/>
      <c r="I192" s="22"/>
    </row>
    <row r="193" spans="2:9">
      <c r="H193" s="61"/>
      <c r="I193" s="22"/>
    </row>
    <row r="194" spans="2:9">
      <c r="H194" s="61"/>
      <c r="I194" s="22"/>
    </row>
    <row r="195" spans="2:9">
      <c r="H195" s="61"/>
      <c r="I195" s="22"/>
    </row>
    <row r="196" spans="2:9">
      <c r="H196" s="61"/>
      <c r="I196" s="22"/>
    </row>
    <row r="197" spans="2:9">
      <c r="H197" s="61"/>
      <c r="I197" s="22"/>
    </row>
    <row r="198" spans="2:9">
      <c r="H198" s="61"/>
      <c r="I198" s="22"/>
    </row>
    <row r="199" spans="2:9">
      <c r="H199" s="61"/>
      <c r="I199" s="22"/>
    </row>
    <row r="200" spans="2:9">
      <c r="H200" s="61"/>
      <c r="I200" s="22"/>
    </row>
    <row r="204" spans="2:9">
      <c r="B204" s="3"/>
      <c r="C204" s="3"/>
      <c r="D204" s="3"/>
      <c r="E204" s="3"/>
      <c r="F204" s="3"/>
    </row>
    <row r="205" spans="2:9">
      <c r="B205" s="3"/>
      <c r="C205" s="3"/>
      <c r="D205" s="3"/>
      <c r="E205" s="3"/>
      <c r="F205" s="3"/>
    </row>
  </sheetData>
  <phoneticPr fontId="2"/>
  <conditionalFormatting sqref="M9">
    <cfRule type="expression" dxfId="50" priority="25">
      <formula>$M$9="コードエラー"</formula>
    </cfRule>
  </conditionalFormatting>
  <conditionalFormatting sqref="N9">
    <cfRule type="expression" dxfId="49" priority="24">
      <formula>$N$9="取引最終日データ追加してください"</formula>
    </cfRule>
  </conditionalFormatting>
  <conditionalFormatting sqref="Q19:R20 Q22:R28 Q21 Q15:Z15 AD15">
    <cfRule type="expression" dxfId="48" priority="19">
      <formula>$Q15="これをクローズ"</formula>
    </cfRule>
    <cfRule type="expression" dxfId="47" priority="20">
      <formula>$Q15="ここまで売る"</formula>
    </cfRule>
    <cfRule type="expression" dxfId="46" priority="21">
      <formula>$Q15="ここまで買う"</formula>
    </cfRule>
  </conditionalFormatting>
  <conditionalFormatting sqref="R18">
    <cfRule type="expression" dxfId="45" priority="38">
      <formula>$Q21="これをクローズ"</formula>
    </cfRule>
    <cfRule type="expression" dxfId="44" priority="39">
      <formula>$Q21="ここまで売る"</formula>
    </cfRule>
    <cfRule type="expression" dxfId="43" priority="40">
      <formula>$Q21="ここまで買う"</formula>
    </cfRule>
  </conditionalFormatting>
  <conditionalFormatting sqref="Z5:Z14 AD5:AD14">
    <cfRule type="expression" dxfId="42" priority="41">
      <formula>$Q19="これをクローズ"</formula>
    </cfRule>
    <cfRule type="expression" dxfId="41" priority="42">
      <formula>$Q19="ここまで売る"</formula>
    </cfRule>
    <cfRule type="expression" dxfId="40" priority="43">
      <formula>$Q19="ここまで買う"</formula>
    </cfRule>
  </conditionalFormatting>
  <conditionalFormatting sqref="AA39:AC39">
    <cfRule type="expression" dxfId="39" priority="49">
      <formula>$Q15="これをクローズ"</formula>
    </cfRule>
    <cfRule type="expression" dxfId="38" priority="50">
      <formula>$Q15="ここまで売る"</formula>
    </cfRule>
    <cfRule type="expression" dxfId="37" priority="51">
      <formula>$Q15="ここまで買う"</formula>
    </cfRule>
  </conditionalFormatting>
  <conditionalFormatting sqref="AA40:AC41">
    <cfRule type="expression" dxfId="36" priority="55">
      <formula>$Y16="これをクローズ"</formula>
    </cfRule>
    <cfRule type="expression" dxfId="35" priority="56">
      <formula>$Y16="ここまで売る"</formula>
    </cfRule>
    <cfRule type="expression" dxfId="34" priority="57">
      <formula>$Y16="ここまで買う"</formula>
    </cfRule>
  </conditionalFormatting>
  <conditionalFormatting sqref="AA31:AC38">
    <cfRule type="expression" dxfId="33" priority="61">
      <formula>$Q21="これをクローズ"</formula>
    </cfRule>
    <cfRule type="expression" dxfId="32" priority="62">
      <formula>$Q21="ここまで売る"</formula>
    </cfRule>
    <cfRule type="expression" dxfId="31" priority="63">
      <formula>$Q21="ここまで買う"</formula>
    </cfRule>
  </conditionalFormatting>
  <conditionalFormatting sqref="K10:M10">
    <cfRule type="expression" dxfId="30" priority="69">
      <formula>$Q20="これをクローズ"</formula>
    </cfRule>
    <cfRule type="expression" dxfId="29" priority="70">
      <formula>$Q20="ここまで売る"</formula>
    </cfRule>
    <cfRule type="expression" dxfId="28" priority="71">
      <formula>$Q20="ここまで買う"</formula>
    </cfRule>
  </conditionalFormatting>
  <conditionalFormatting sqref="N9">
    <cfRule type="expression" dxfId="27" priority="76">
      <formula>$Q19="これをクローズ"</formula>
    </cfRule>
    <cfRule type="expression" dxfId="26" priority="77">
      <formula>$Q19="ここまで売る"</formula>
    </cfRule>
    <cfRule type="expression" dxfId="25" priority="78">
      <formula>$Q19="ここまで買う"</formula>
    </cfRule>
  </conditionalFormatting>
  <conditionalFormatting sqref="Q29:R55">
    <cfRule type="expression" dxfId="24" priority="13">
      <formula>$Q29="これをクローズ"</formula>
    </cfRule>
    <cfRule type="expression" dxfId="23" priority="14">
      <formula>$Q29="ここまで売る"</formula>
    </cfRule>
    <cfRule type="expression" dxfId="22" priority="15">
      <formula>$Q29="ここまで買う"</formula>
    </cfRule>
  </conditionalFormatting>
  <conditionalFormatting sqref="Y29:Y55">
    <cfRule type="expression" dxfId="21" priority="16">
      <formula>$Y29="これをクローズ"</formula>
    </cfRule>
    <cfRule type="expression" dxfId="20" priority="17">
      <formula>$Y29="ここまで売る"</formula>
    </cfRule>
    <cfRule type="expression" dxfId="19" priority="18">
      <formula>$Y29="ここまで買う"</formula>
    </cfRule>
  </conditionalFormatting>
  <conditionalFormatting sqref="AA1 AA7">
    <cfRule type="expression" dxfId="18" priority="82">
      <formula>$Y21="これをクローズ"</formula>
    </cfRule>
    <cfRule type="expression" dxfId="17" priority="83">
      <formula>$Y21="ここまで売る"</formula>
    </cfRule>
    <cfRule type="expression" dxfId="16" priority="84">
      <formula>$Y21="ここまで買う"</formula>
    </cfRule>
  </conditionalFormatting>
  <conditionalFormatting sqref="AA27:AB27 AB20:AB26">
    <cfRule type="expression" dxfId="15" priority="94">
      <formula>$Y21="これをクローズ"</formula>
    </cfRule>
    <cfRule type="expression" dxfId="14" priority="95">
      <formula>$Y21="ここまで売る"</formula>
    </cfRule>
    <cfRule type="expression" dxfId="13" priority="96">
      <formula>$Y21="ここまで買う"</formula>
    </cfRule>
  </conditionalFormatting>
  <conditionalFormatting sqref="AA20:AA23">
    <cfRule type="expression" dxfId="12" priority="103">
      <formula>$Y23="これをクローズ"</formula>
    </cfRule>
    <cfRule type="expression" dxfId="11" priority="104">
      <formula>$Y23="ここまで売る"</formula>
    </cfRule>
    <cfRule type="expression" dxfId="10" priority="105">
      <formula>$Y23="ここまで買う"</formula>
    </cfRule>
  </conditionalFormatting>
  <conditionalFormatting sqref="U11:V11">
    <cfRule type="expression" dxfId="9" priority="11">
      <formula>U11="NG"</formula>
    </cfRule>
  </conditionalFormatting>
  <conditionalFormatting sqref="P3:P7">
    <cfRule type="expression" dxfId="8" priority="106">
      <formula>$P3="ON"</formula>
    </cfRule>
  </conditionalFormatting>
  <conditionalFormatting sqref="AJ1:AL1048576 AR1:AU1048576">
    <cfRule type="expression" dxfId="7" priority="10">
      <formula>AJ1=1</formula>
    </cfRule>
  </conditionalFormatting>
  <conditionalFormatting sqref="U5:Y6">
    <cfRule type="cellIs" dxfId="6" priority="7" operator="greaterThanOrEqual">
      <formula>1</formula>
    </cfRule>
  </conditionalFormatting>
  <conditionalFormatting sqref="K11:L11">
    <cfRule type="expression" dxfId="5" priority="4">
      <formula>$Q21="これをクローズ"</formula>
    </cfRule>
    <cfRule type="expression" dxfId="4" priority="5">
      <formula>$Q21="ここまで売る"</formula>
    </cfRule>
    <cfRule type="expression" dxfId="3" priority="6">
      <formula>$Q21="ここまで買う"</formula>
    </cfRule>
  </conditionalFormatting>
  <conditionalFormatting sqref="M11">
    <cfRule type="expression" dxfId="2" priority="1">
      <formula>$Q21="これをクローズ"</formula>
    </cfRule>
    <cfRule type="expression" dxfId="1" priority="2">
      <formula>$Q21="ここまで売る"</formula>
    </cfRule>
    <cfRule type="expression" dxfId="0" priority="3">
      <formula>$Q21="ここまで買う"</formula>
    </cfRule>
  </conditionalFormatting>
  <dataValidations count="1">
    <dataValidation type="list" allowBlank="1" showInputMessage="1" showErrorMessage="1" sqref="AC73 AC41 AC18 AC133 AC103 AC163">
      <formula1>"0,1"</formula1>
    </dataValidation>
  </dataValidations>
  <hyperlinks>
    <hyperlink ref="AA23" r:id="rId1"/>
    <hyperlink ref="AA21" r:id="rId2"/>
  </hyperlinks>
  <pageMargins left="0.7" right="0.7" top="0.75" bottom="0.75" header="0.3" footer="0.3"/>
  <pageSetup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239"/>
  <sheetViews>
    <sheetView topLeftCell="AK1" workbookViewId="0">
      <pane ySplit="2" topLeftCell="A3" activePane="bottomLeft" state="frozen"/>
      <selection activeCell="AJ6" sqref="AJ6"/>
      <selection pane="bottomLeft" activeCell="AV2" sqref="AV2"/>
    </sheetView>
  </sheetViews>
  <sheetFormatPr defaultRowHeight="13" outlineLevelCol="1"/>
  <cols>
    <col min="1" max="1" width="20.453125" customWidth="1"/>
    <col min="5" max="5" width="10" bestFit="1" customWidth="1"/>
    <col min="13" max="13" width="13.26953125" customWidth="1"/>
    <col min="14" max="14" width="10.453125" bestFit="1" customWidth="1"/>
    <col min="19" max="19" width="11.36328125" bestFit="1" customWidth="1"/>
    <col min="32" max="35" width="12.6328125" customWidth="1" outlineLevel="1"/>
    <col min="38" max="38" width="11.90625" customWidth="1"/>
    <col min="39" max="39" width="12.6328125" customWidth="1"/>
    <col min="41" max="41" width="12.08984375" customWidth="1"/>
    <col min="42" max="42" width="12.6328125" customWidth="1"/>
    <col min="43" max="44" width="17.7265625" customWidth="1"/>
    <col min="45" max="45" width="16" customWidth="1"/>
    <col min="46" max="46" width="12.90625" customWidth="1"/>
    <col min="47" max="47" width="17.453125" customWidth="1"/>
    <col min="48" max="48" width="15.90625" customWidth="1"/>
    <col min="49" max="50" width="11.7265625" customWidth="1"/>
    <col min="51" max="51" width="11.6328125" customWidth="1"/>
  </cols>
  <sheetData>
    <row r="1" spans="1:51" ht="15">
      <c r="A1" s="22"/>
      <c r="B1" s="22"/>
      <c r="C1" s="22"/>
      <c r="D1" s="22"/>
      <c r="E1" s="23"/>
      <c r="F1" s="23"/>
      <c r="G1" s="24"/>
      <c r="H1" s="24"/>
      <c r="I1" s="24"/>
      <c r="J1" s="24"/>
      <c r="K1" s="22"/>
      <c r="L1" s="22"/>
      <c r="M1" s="22"/>
      <c r="N1" s="22"/>
      <c r="O1" s="23"/>
      <c r="P1" s="23"/>
      <c r="Q1" s="22"/>
      <c r="R1" s="22"/>
      <c r="S1" s="10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M1" s="22"/>
      <c r="AN1" s="22"/>
      <c r="AP1" s="22"/>
      <c r="AQ1" s="22" t="s">
        <v>50</v>
      </c>
      <c r="AR1" s="67" t="s">
        <v>49</v>
      </c>
    </row>
    <row r="2" spans="1:51" ht="75">
      <c r="A2" s="22"/>
      <c r="D2" s="22"/>
      <c r="E2" s="28"/>
      <c r="F2" s="28"/>
      <c r="G2" s="29"/>
      <c r="H2" s="29"/>
      <c r="I2" s="29"/>
      <c r="J2" s="29"/>
      <c r="K2" s="22"/>
      <c r="L2" s="22"/>
      <c r="M2" s="44"/>
      <c r="N2" s="45"/>
      <c r="O2" s="30"/>
      <c r="P2" s="30"/>
      <c r="Q2" s="28"/>
      <c r="R2" s="22"/>
      <c r="S2" s="103"/>
      <c r="T2" s="104"/>
      <c r="U2" s="105"/>
      <c r="V2" s="130"/>
      <c r="W2" s="22"/>
      <c r="X2" s="31"/>
      <c r="Y2" s="31"/>
      <c r="Z2" s="31"/>
      <c r="AA2" s="31"/>
      <c r="AB2" s="32"/>
      <c r="AC2" s="32"/>
      <c r="AD2" s="32"/>
      <c r="AE2" s="32"/>
      <c r="AF2" s="22"/>
      <c r="AG2" s="34" t="s">
        <v>60</v>
      </c>
      <c r="AH2" s="110" t="s">
        <v>61</v>
      </c>
      <c r="AI2" s="78" t="s">
        <v>66</v>
      </c>
      <c r="AJ2" s="22"/>
      <c r="AK2" s="22" t="s">
        <v>58</v>
      </c>
      <c r="AL2" s="31" t="s">
        <v>57</v>
      </c>
      <c r="AM2" s="22"/>
      <c r="AN2" s="22" t="s">
        <v>58</v>
      </c>
      <c r="AO2" s="78" t="s">
        <v>56</v>
      </c>
      <c r="AP2" s="22"/>
      <c r="AQ2" s="68" t="s">
        <v>43</v>
      </c>
      <c r="AR2" s="68" t="s">
        <v>44</v>
      </c>
      <c r="AS2" s="68" t="s">
        <v>45</v>
      </c>
      <c r="AT2" s="69" t="s">
        <v>46</v>
      </c>
      <c r="AU2" s="70" t="s">
        <v>48</v>
      </c>
      <c r="AV2" s="68" t="s">
        <v>47</v>
      </c>
      <c r="AW2" s="68" t="s">
        <v>51</v>
      </c>
      <c r="AX2" s="66" t="s">
        <v>17</v>
      </c>
      <c r="AY2" s="5" t="s">
        <v>11</v>
      </c>
    </row>
    <row r="3" spans="1:51" ht="15">
      <c r="A3" s="25"/>
      <c r="B3" s="42"/>
      <c r="D3" s="22"/>
      <c r="E3" s="35"/>
      <c r="F3" s="35"/>
      <c r="G3" s="36"/>
      <c r="H3" s="36"/>
      <c r="I3" s="36"/>
      <c r="J3" s="36"/>
      <c r="K3" s="22"/>
      <c r="L3" s="22"/>
      <c r="M3" s="46"/>
      <c r="N3" s="140"/>
      <c r="O3" s="36"/>
      <c r="P3" s="36"/>
      <c r="Q3" s="37"/>
      <c r="R3" s="22"/>
      <c r="S3" s="10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N3" s="22"/>
      <c r="AO3" s="22"/>
      <c r="AQ3" s="71" t="s">
        <v>41</v>
      </c>
      <c r="AR3" s="72">
        <v>44621</v>
      </c>
      <c r="AS3" s="71">
        <v>167030019</v>
      </c>
      <c r="AT3" s="71" t="s">
        <v>42</v>
      </c>
      <c r="AU3" s="73">
        <v>44630</v>
      </c>
      <c r="AV3" s="71" t="s">
        <v>42</v>
      </c>
      <c r="AW3" s="71"/>
      <c r="AX3" s="21">
        <v>202209</v>
      </c>
      <c r="AY3" s="64" t="e" cm="1">
        <f t="array" ref="AY3" ca="1">_xll.RssFOPCode("N225MF",AX3)</f>
        <v>#NAME?</v>
      </c>
    </row>
    <row r="4" spans="1:51" ht="15">
      <c r="A4" s="25"/>
      <c r="B4" s="42"/>
      <c r="C4" s="22"/>
      <c r="D4" s="22"/>
      <c r="E4" s="35"/>
      <c r="F4" s="35"/>
      <c r="G4" s="36"/>
      <c r="H4" s="36"/>
      <c r="I4" s="36"/>
      <c r="J4" s="36"/>
      <c r="K4" s="22"/>
      <c r="L4" s="22"/>
      <c r="M4" s="46"/>
      <c r="N4" s="140"/>
      <c r="O4" s="36"/>
      <c r="P4" s="36"/>
      <c r="Q4" s="37"/>
      <c r="R4" s="38"/>
      <c r="S4" s="106"/>
      <c r="T4" s="33"/>
      <c r="U4" s="33"/>
      <c r="V4" s="107"/>
      <c r="W4" s="38"/>
      <c r="X4" s="22"/>
      <c r="Y4" s="22"/>
      <c r="Z4" s="22"/>
      <c r="AA4" s="22"/>
      <c r="AB4" s="22"/>
      <c r="AC4" s="22"/>
      <c r="AD4" s="22"/>
      <c r="AE4" s="22"/>
      <c r="AF4" s="22"/>
      <c r="AG4" s="34"/>
      <c r="AH4" s="111"/>
      <c r="AI4" s="111"/>
      <c r="AQ4" s="71" t="s">
        <v>41</v>
      </c>
      <c r="AR4" s="72">
        <v>44713</v>
      </c>
      <c r="AS4" s="71">
        <v>167060019</v>
      </c>
      <c r="AT4" s="71" t="s">
        <v>42</v>
      </c>
      <c r="AU4" s="73">
        <v>44721</v>
      </c>
      <c r="AV4" s="71" t="s">
        <v>42</v>
      </c>
      <c r="AW4" s="71">
        <f t="shared" ref="AW4:AW17" ca="1" si="0">IF(AND(AU3&lt;=TODAY(),AU4&gt;TODAY()),1,0)</f>
        <v>0</v>
      </c>
      <c r="AX4" s="21">
        <v>202209</v>
      </c>
      <c r="AY4" s="64" t="e" cm="1">
        <f t="array" ref="AY4" ca="1">_xll.RssFOPCode("N225MF",AX4)</f>
        <v>#NAME?</v>
      </c>
    </row>
    <row r="5" spans="1:51" ht="15">
      <c r="A5" s="26"/>
      <c r="B5" s="43"/>
      <c r="C5" s="22"/>
      <c r="D5" s="22"/>
      <c r="E5" s="35"/>
      <c r="F5" s="35"/>
      <c r="G5" s="36"/>
      <c r="H5" s="36"/>
      <c r="I5" s="36"/>
      <c r="J5" s="36"/>
      <c r="K5" s="22"/>
      <c r="L5" s="22"/>
      <c r="M5" s="46"/>
      <c r="N5" s="140"/>
      <c r="O5" s="36"/>
      <c r="P5" s="36"/>
      <c r="Q5" s="37"/>
      <c r="R5" s="38"/>
      <c r="S5" s="106"/>
      <c r="T5" s="33"/>
      <c r="U5" s="33"/>
      <c r="V5" s="107"/>
      <c r="W5" s="38"/>
      <c r="X5" s="22"/>
      <c r="Y5" s="22"/>
      <c r="Z5" s="22"/>
      <c r="AA5" s="22"/>
      <c r="AB5" s="22"/>
      <c r="AC5" s="22"/>
      <c r="AD5" s="22"/>
      <c r="AE5" s="22"/>
      <c r="AF5" s="22"/>
      <c r="AG5" s="107"/>
      <c r="AH5" s="111"/>
      <c r="AI5" s="111"/>
      <c r="AQ5" s="71" t="s">
        <v>41</v>
      </c>
      <c r="AR5" s="72">
        <v>44805</v>
      </c>
      <c r="AS5" s="71">
        <v>167090019</v>
      </c>
      <c r="AT5" s="71" t="s">
        <v>42</v>
      </c>
      <c r="AU5" s="73">
        <v>44812</v>
      </c>
      <c r="AV5" s="71" t="s">
        <v>42</v>
      </c>
      <c r="AW5" s="71">
        <f t="shared" ca="1" si="0"/>
        <v>0</v>
      </c>
      <c r="AX5" s="21">
        <v>202209</v>
      </c>
      <c r="AY5" s="64" t="e" cm="1">
        <f t="array" ref="AY5" ca="1">_xll.RssFOPCode("N225MF",AX5)</f>
        <v>#NAME?</v>
      </c>
    </row>
    <row r="6" spans="1:51" ht="13.5" customHeight="1">
      <c r="A6" s="26"/>
      <c r="B6" s="43"/>
      <c r="C6" s="22"/>
      <c r="D6" s="22"/>
      <c r="E6" s="35"/>
      <c r="F6" s="35"/>
      <c r="G6" s="36"/>
      <c r="H6" s="36"/>
      <c r="I6" s="36"/>
      <c r="J6" s="36"/>
      <c r="K6" s="22"/>
      <c r="L6" s="22"/>
      <c r="M6" s="46"/>
      <c r="N6" s="140"/>
      <c r="O6" s="36"/>
      <c r="P6" s="36"/>
      <c r="Q6" s="37"/>
      <c r="R6" s="38"/>
      <c r="S6" s="106"/>
      <c r="T6" s="33"/>
      <c r="U6" s="33"/>
      <c r="V6" s="107"/>
      <c r="W6" s="38"/>
      <c r="X6" s="22"/>
      <c r="Y6" s="22"/>
      <c r="Z6" s="22"/>
      <c r="AA6" s="22"/>
      <c r="AB6" s="22"/>
      <c r="AC6" s="22"/>
      <c r="AD6" s="22"/>
      <c r="AE6" s="22"/>
      <c r="AF6" s="22"/>
      <c r="AG6" s="107"/>
      <c r="AH6" s="111"/>
      <c r="AI6" s="111"/>
      <c r="AJ6" s="22"/>
      <c r="AK6" s="22"/>
      <c r="AL6" s="22"/>
      <c r="AN6" s="22"/>
      <c r="AO6" s="22"/>
      <c r="AQ6" s="71" t="s">
        <v>41</v>
      </c>
      <c r="AR6" s="72">
        <v>44896</v>
      </c>
      <c r="AS6" s="71">
        <v>167120019</v>
      </c>
      <c r="AT6" s="71" t="s">
        <v>42</v>
      </c>
      <c r="AU6" s="73">
        <v>44903</v>
      </c>
      <c r="AV6" s="71" t="s">
        <v>42</v>
      </c>
      <c r="AW6" s="71">
        <f t="shared" ca="1" si="0"/>
        <v>0</v>
      </c>
      <c r="AX6" s="21">
        <v>202212</v>
      </c>
      <c r="AY6" s="64" t="e" cm="1">
        <f t="array" ref="AY6" ca="1">_xll.RssFOPCode("N225MF",AX6)</f>
        <v>#NAME?</v>
      </c>
    </row>
    <row r="7" spans="1:51" ht="15">
      <c r="A7" s="27"/>
      <c r="B7" s="42"/>
      <c r="C7" s="22"/>
      <c r="D7" s="22"/>
      <c r="E7" s="35"/>
      <c r="F7" s="35"/>
      <c r="G7" s="36"/>
      <c r="H7" s="36"/>
      <c r="I7" s="36"/>
      <c r="J7" s="36"/>
      <c r="K7" s="22"/>
      <c r="L7" s="22"/>
      <c r="M7" s="46"/>
      <c r="N7" s="140"/>
      <c r="O7" s="36"/>
      <c r="P7" s="36"/>
      <c r="Q7" s="37"/>
      <c r="R7" s="38"/>
      <c r="S7" s="108"/>
      <c r="T7" s="33"/>
      <c r="U7" s="33"/>
      <c r="V7" s="109"/>
      <c r="W7" s="38"/>
      <c r="X7" s="34"/>
      <c r="Y7" s="47"/>
      <c r="Z7" s="34"/>
      <c r="AA7" s="34"/>
      <c r="AB7" s="34"/>
      <c r="AC7" s="47"/>
      <c r="AD7" s="34"/>
      <c r="AE7" s="34"/>
      <c r="AF7" s="22"/>
      <c r="AG7" s="107"/>
      <c r="AH7" s="82">
        <f>IF(Y7=0,0,IF(Y7-Y6=1,AH6+$N7,AH6))</f>
        <v>0</v>
      </c>
      <c r="AI7" s="82">
        <f>IF(AC7=0,0,IF(AC7-AC6=1,AI6-$N7,AI6))</f>
        <v>0</v>
      </c>
      <c r="AJ7" s="22"/>
      <c r="AK7" s="34">
        <f>IF(COUNTIF(Y7:Y$102,0)&lt;&gt;0,0,IF(Y7-Y6=1,COUNTIF(AL$7:AL7,"&lt;&gt;0"),0))</f>
        <v>0</v>
      </c>
      <c r="AL7" s="34">
        <f>IF(Z7=1,M7,0)</f>
        <v>0</v>
      </c>
      <c r="AM7" s="80"/>
      <c r="AN7" s="34">
        <f>IF(COUNTIF(AC7:AC$102,0)&lt;&gt;0,0,IF(AC7-AC6=1,COUNTIF(AO$7:AO7,"&lt;&gt;0"),0))</f>
        <v>0</v>
      </c>
      <c r="AO7" s="34">
        <f>IF(AD7=1,M7,0)</f>
        <v>0</v>
      </c>
      <c r="AP7" s="80"/>
      <c r="AQ7" s="79" t="s">
        <v>41</v>
      </c>
      <c r="AR7" s="72">
        <v>44986</v>
      </c>
      <c r="AS7" s="71">
        <v>168030019</v>
      </c>
      <c r="AT7" s="71" t="s">
        <v>42</v>
      </c>
      <c r="AU7" s="73">
        <v>44994</v>
      </c>
      <c r="AV7" s="71" t="s">
        <v>42</v>
      </c>
      <c r="AW7" s="71">
        <f t="shared" ca="1" si="0"/>
        <v>0</v>
      </c>
      <c r="AX7" s="21">
        <v>202303</v>
      </c>
      <c r="AY7" s="64" t="e" cm="1">
        <f t="array" ref="AY7" ca="1">_xll.RssFOPCode("N225MF",AX7)</f>
        <v>#NAME?</v>
      </c>
    </row>
    <row r="8" spans="1:51" ht="15">
      <c r="C8" s="22"/>
      <c r="D8" s="22"/>
      <c r="E8" s="35"/>
      <c r="F8" s="35"/>
      <c r="G8" s="36"/>
      <c r="H8" s="36"/>
      <c r="I8" s="36"/>
      <c r="J8" s="36"/>
      <c r="K8" s="22"/>
      <c r="L8" s="22"/>
      <c r="M8" s="46"/>
      <c r="N8" s="140"/>
      <c r="O8" s="36"/>
      <c r="P8" s="36"/>
      <c r="Q8" s="37"/>
      <c r="R8" s="38"/>
      <c r="S8" s="108"/>
      <c r="T8" s="33"/>
      <c r="U8" s="33"/>
      <c r="V8" s="109"/>
      <c r="W8" s="38"/>
      <c r="X8" s="34"/>
      <c r="Y8" s="48"/>
      <c r="Z8" s="34"/>
      <c r="AA8" s="34"/>
      <c r="AB8" s="34"/>
      <c r="AC8" s="48"/>
      <c r="AD8" s="34"/>
      <c r="AE8" s="34"/>
      <c r="AF8" s="22"/>
      <c r="AG8" s="107"/>
      <c r="AH8" s="82">
        <f t="shared" ref="AH8:AH71" si="1">IF(Y8=0,0,IF(Y8-Y7=1,AH7+$N8,AH7))</f>
        <v>0</v>
      </c>
      <c r="AI8" s="82">
        <f t="shared" ref="AI8:AI71" si="2">IF(AC8=0,0,IF(AC8-AC7=1,AI7-$N8,AI7))</f>
        <v>0</v>
      </c>
      <c r="AJ8" s="22"/>
      <c r="AK8" s="34">
        <f>IF(COUNTIF(Y8:Y$102,0)&lt;&gt;0,0,IF(Y8-Y7=1,COUNTIF(AL$7:AL8,"&lt;&gt;0"),0))</f>
        <v>0</v>
      </c>
      <c r="AL8" s="34">
        <f t="shared" ref="AL8:AL71" si="3">IF(Z8=1,M8,0)</f>
        <v>0</v>
      </c>
      <c r="AM8" s="80"/>
      <c r="AN8" s="34">
        <f>IF(COUNTIF(AC8:AC$102,0)&lt;&gt;0,0,IF(AC8-AC7=1,COUNTIF(AO$7:AO8,"&lt;&gt;0"),0))</f>
        <v>0</v>
      </c>
      <c r="AO8" s="34">
        <f t="shared" ref="AO8:AO71" si="4">IF(AD8=1,M8,0)</f>
        <v>0</v>
      </c>
      <c r="AP8" s="80"/>
      <c r="AQ8" s="79" t="s">
        <v>41</v>
      </c>
      <c r="AR8" s="72">
        <v>45078</v>
      </c>
      <c r="AS8" s="71">
        <v>168060019</v>
      </c>
      <c r="AT8" s="71" t="s">
        <v>42</v>
      </c>
      <c r="AU8" s="73">
        <v>45085</v>
      </c>
      <c r="AV8" s="71" t="s">
        <v>42</v>
      </c>
      <c r="AW8" s="71">
        <f t="shared" ca="1" si="0"/>
        <v>0</v>
      </c>
      <c r="AX8" s="21">
        <v>202306</v>
      </c>
      <c r="AY8" s="64" t="e" cm="1">
        <f t="array" ref="AY8" ca="1">_xll.RssFOPCode("N225MF",AX8)</f>
        <v>#NAME?</v>
      </c>
    </row>
    <row r="9" spans="1:51" ht="15">
      <c r="A9" s="103"/>
      <c r="B9" s="131"/>
      <c r="C9" s="22"/>
      <c r="D9" s="22"/>
      <c r="E9" s="35"/>
      <c r="F9" s="35"/>
      <c r="G9" s="36"/>
      <c r="H9" s="36"/>
      <c r="I9" s="36"/>
      <c r="J9" s="36"/>
      <c r="K9" s="22"/>
      <c r="L9" s="22"/>
      <c r="M9" s="46"/>
      <c r="N9" s="140"/>
      <c r="O9" s="36"/>
      <c r="P9" s="36"/>
      <c r="Q9" s="37"/>
      <c r="R9" s="38"/>
      <c r="S9" s="108"/>
      <c r="T9" s="33"/>
      <c r="U9" s="33"/>
      <c r="V9" s="109"/>
      <c r="W9" s="38"/>
      <c r="X9" s="34"/>
      <c r="Y9" s="48"/>
      <c r="Z9" s="34"/>
      <c r="AA9" s="34"/>
      <c r="AB9" s="34"/>
      <c r="AC9" s="48"/>
      <c r="AD9" s="34"/>
      <c r="AE9" s="34"/>
      <c r="AG9" s="107"/>
      <c r="AH9" s="82">
        <f t="shared" si="1"/>
        <v>0</v>
      </c>
      <c r="AI9" s="82">
        <f t="shared" si="2"/>
        <v>0</v>
      </c>
      <c r="AJ9" s="22"/>
      <c r="AK9" s="34">
        <f>IF(COUNTIF(Y9:Y$102,0)&lt;&gt;0,0,IF(Y9-Y8=1,COUNTIF(AL$7:AL9,"&lt;&gt;0"),0))</f>
        <v>0</v>
      </c>
      <c r="AL9" s="34">
        <f t="shared" si="3"/>
        <v>0</v>
      </c>
      <c r="AM9" s="80"/>
      <c r="AN9" s="34">
        <f>IF(COUNTIF(AC9:AC$102,0)&lt;&gt;0,0,IF(AC9-AC8=1,COUNTIF(AO$7:AO9,"&lt;&gt;0"),0))</f>
        <v>0</v>
      </c>
      <c r="AO9" s="34">
        <f t="shared" si="4"/>
        <v>0</v>
      </c>
      <c r="AP9" s="80"/>
      <c r="AQ9" s="79" t="s">
        <v>41</v>
      </c>
      <c r="AR9" s="72">
        <v>45170</v>
      </c>
      <c r="AS9" s="71">
        <v>168090019</v>
      </c>
      <c r="AT9" s="71" t="s">
        <v>42</v>
      </c>
      <c r="AU9" s="73">
        <v>45176</v>
      </c>
      <c r="AV9" s="71" t="s">
        <v>42</v>
      </c>
      <c r="AW9" s="71">
        <f t="shared" ca="1" si="0"/>
        <v>0</v>
      </c>
      <c r="AX9" s="21">
        <v>202309</v>
      </c>
      <c r="AY9" s="64" t="e" cm="1">
        <f t="array" ref="AY9" ca="1">_xll.RssFOPCode("N225MF",AX9)</f>
        <v>#NAME?</v>
      </c>
    </row>
    <row r="10" spans="1:51" ht="15">
      <c r="A10" s="104"/>
      <c r="B10" s="131"/>
      <c r="C10" s="22"/>
      <c r="D10" s="22"/>
      <c r="E10" s="35"/>
      <c r="F10" s="35"/>
      <c r="G10" s="36"/>
      <c r="H10" s="36"/>
      <c r="I10" s="36"/>
      <c r="J10" s="36"/>
      <c r="K10" s="22"/>
      <c r="L10" s="22"/>
      <c r="M10" s="46"/>
      <c r="N10" s="140"/>
      <c r="O10" s="36"/>
      <c r="P10" s="36"/>
      <c r="Q10" s="37"/>
      <c r="R10" s="38"/>
      <c r="S10" s="108"/>
      <c r="T10" s="33"/>
      <c r="U10" s="33"/>
      <c r="V10" s="109"/>
      <c r="W10" s="38"/>
      <c r="X10" s="34"/>
      <c r="Y10" s="48"/>
      <c r="Z10" s="34"/>
      <c r="AA10" s="34"/>
      <c r="AB10" s="34"/>
      <c r="AC10" s="48"/>
      <c r="AD10" s="34"/>
      <c r="AE10" s="34"/>
      <c r="AG10" s="107"/>
      <c r="AH10" s="82">
        <f t="shared" si="1"/>
        <v>0</v>
      </c>
      <c r="AI10" s="82">
        <f t="shared" si="2"/>
        <v>0</v>
      </c>
      <c r="AJ10" s="22"/>
      <c r="AK10" s="34">
        <f>IF(COUNTIF(Y10:Y$102,0)&lt;&gt;0,0,IF(Y10-Y9=1,COUNTIF(AL$7:AL10,"&lt;&gt;0"),0))</f>
        <v>0</v>
      </c>
      <c r="AL10" s="34">
        <f t="shared" si="3"/>
        <v>0</v>
      </c>
      <c r="AM10" s="80"/>
      <c r="AN10" s="34">
        <f>IF(COUNTIF(AC10:AC$102,0)&lt;&gt;0,0,IF(AC10-AC9=1,COUNTIF(AO$7:AO10,"&lt;&gt;0"),0))</f>
        <v>0</v>
      </c>
      <c r="AO10" s="34">
        <f t="shared" si="4"/>
        <v>0</v>
      </c>
      <c r="AP10" s="80"/>
      <c r="AQ10" s="79" t="s">
        <v>41</v>
      </c>
      <c r="AR10" s="72">
        <v>45261</v>
      </c>
      <c r="AS10" s="71">
        <v>168120019</v>
      </c>
      <c r="AT10" s="71" t="s">
        <v>42</v>
      </c>
      <c r="AU10" s="73">
        <v>45267</v>
      </c>
      <c r="AV10" s="71" t="s">
        <v>42</v>
      </c>
      <c r="AW10" s="71">
        <f t="shared" ca="1" si="0"/>
        <v>1</v>
      </c>
      <c r="AX10" s="21">
        <v>202312</v>
      </c>
      <c r="AY10" s="64" t="e" cm="1">
        <f t="array" ref="AY10" ca="1">_xll.RssFOPCode("N225MF",AX10)</f>
        <v>#NAME?</v>
      </c>
    </row>
    <row r="11" spans="1:51" ht="15">
      <c r="A11" s="129"/>
      <c r="B11" s="131"/>
      <c r="C11" s="22"/>
      <c r="D11" s="22"/>
      <c r="E11" s="35"/>
      <c r="F11" s="35"/>
      <c r="G11" s="36"/>
      <c r="H11" s="36"/>
      <c r="I11" s="36"/>
      <c r="J11" s="36"/>
      <c r="K11" s="22"/>
      <c r="L11" s="22"/>
      <c r="M11" s="46"/>
      <c r="N11" s="140"/>
      <c r="O11" s="36"/>
      <c r="P11" s="36"/>
      <c r="Q11" s="37"/>
      <c r="R11" s="38"/>
      <c r="S11" s="108"/>
      <c r="T11" s="33"/>
      <c r="U11" s="33"/>
      <c r="V11" s="109"/>
      <c r="W11" s="38"/>
      <c r="X11" s="34"/>
      <c r="Y11" s="48"/>
      <c r="Z11" s="34"/>
      <c r="AA11" s="34"/>
      <c r="AB11" s="34"/>
      <c r="AC11" s="48"/>
      <c r="AD11" s="34"/>
      <c r="AE11" s="34"/>
      <c r="AG11" s="107"/>
      <c r="AH11" s="82">
        <f t="shared" si="1"/>
        <v>0</v>
      </c>
      <c r="AI11" s="82">
        <f t="shared" si="2"/>
        <v>0</v>
      </c>
      <c r="AJ11" s="22"/>
      <c r="AK11" s="34">
        <f>IF(COUNTIF(Y11:Y$102,0)&lt;&gt;0,0,IF(Y11-Y10=1,COUNTIF(AL$7:AL11,"&lt;&gt;0"),0))</f>
        <v>0</v>
      </c>
      <c r="AL11" s="34">
        <f t="shared" si="3"/>
        <v>0</v>
      </c>
      <c r="AM11" s="80"/>
      <c r="AN11" s="34">
        <f>IF(COUNTIF(AC11:AC$102,0)&lt;&gt;0,0,IF(AC11-AC10=1,COUNTIF(AO$7:AO11,"&lt;&gt;0"),0))</f>
        <v>0</v>
      </c>
      <c r="AO11" s="34">
        <f t="shared" si="4"/>
        <v>0</v>
      </c>
      <c r="AP11" s="80"/>
      <c r="AQ11" s="79" t="s">
        <v>41</v>
      </c>
      <c r="AR11" s="72">
        <v>45352</v>
      </c>
      <c r="AS11" s="71">
        <v>169030019</v>
      </c>
      <c r="AT11" s="71" t="s">
        <v>42</v>
      </c>
      <c r="AU11" s="73">
        <v>45358</v>
      </c>
      <c r="AV11" s="73"/>
      <c r="AW11" s="71">
        <f t="shared" ca="1" si="0"/>
        <v>0</v>
      </c>
      <c r="AX11" s="21">
        <v>202403</v>
      </c>
      <c r="AY11" s="64" t="e" cm="1">
        <f t="array" ref="AY11" ca="1">_xll.RssFOPCode("N225MF",AX11)</f>
        <v>#NAME?</v>
      </c>
    </row>
    <row r="12" spans="1:51" ht="15">
      <c r="A12" s="132"/>
      <c r="B12" s="131"/>
      <c r="C12" s="22"/>
      <c r="D12" s="22"/>
      <c r="E12" s="35"/>
      <c r="F12" s="35"/>
      <c r="G12" s="36"/>
      <c r="H12" s="36"/>
      <c r="I12" s="36"/>
      <c r="J12" s="36"/>
      <c r="K12" s="22"/>
      <c r="L12" s="22"/>
      <c r="M12" s="46"/>
      <c r="N12" s="140"/>
      <c r="O12" s="36"/>
      <c r="P12" s="36"/>
      <c r="Q12" s="37"/>
      <c r="R12" s="38"/>
      <c r="S12" s="108"/>
      <c r="T12" s="33"/>
      <c r="U12" s="33"/>
      <c r="V12" s="109"/>
      <c r="W12" s="38"/>
      <c r="X12" s="34"/>
      <c r="Y12" s="48"/>
      <c r="Z12" s="34"/>
      <c r="AA12" s="34"/>
      <c r="AB12" s="34"/>
      <c r="AC12" s="48"/>
      <c r="AD12" s="34"/>
      <c r="AE12" s="34"/>
      <c r="AG12" s="107"/>
      <c r="AH12" s="82">
        <f t="shared" si="1"/>
        <v>0</v>
      </c>
      <c r="AI12" s="82">
        <f t="shared" si="2"/>
        <v>0</v>
      </c>
      <c r="AJ12" s="22"/>
      <c r="AK12" s="34">
        <f>IF(COUNTIF(Y12:Y$102,0)&lt;&gt;0,0,IF(Y12-Y11=1,COUNTIF(AL$7:AL12,"&lt;&gt;0"),0))</f>
        <v>0</v>
      </c>
      <c r="AL12" s="34">
        <f t="shared" si="3"/>
        <v>0</v>
      </c>
      <c r="AM12" s="80"/>
      <c r="AN12" s="34">
        <f>IF(COUNTIF(AC12:AC$102,0)&lt;&gt;0,0,IF(AC12-AC11=1,COUNTIF(AO$7:AO12,"&lt;&gt;0"),0))</f>
        <v>0</v>
      </c>
      <c r="AO12" s="34">
        <f t="shared" si="4"/>
        <v>0</v>
      </c>
      <c r="AP12" s="80"/>
      <c r="AQ12" s="79" t="s">
        <v>41</v>
      </c>
      <c r="AR12" s="72">
        <v>45444</v>
      </c>
      <c r="AS12" s="71">
        <v>169060019</v>
      </c>
      <c r="AT12" s="71" t="s">
        <v>42</v>
      </c>
      <c r="AU12" s="73">
        <v>45449</v>
      </c>
      <c r="AV12" s="73"/>
      <c r="AW12" s="71">
        <f t="shared" ca="1" si="0"/>
        <v>0</v>
      </c>
      <c r="AX12" s="21">
        <v>202406</v>
      </c>
      <c r="AY12" s="64" t="e" cm="1">
        <f t="array" ref="AY12" ca="1">_xll.RssFOPCode("N225MF",AX12)</f>
        <v>#NAME?</v>
      </c>
    </row>
    <row r="13" spans="1:51" ht="15">
      <c r="A13" s="22"/>
      <c r="B13" s="22"/>
      <c r="C13" s="22"/>
      <c r="D13" s="22"/>
      <c r="E13" s="35"/>
      <c r="F13" s="35"/>
      <c r="G13" s="36"/>
      <c r="H13" s="36"/>
      <c r="I13" s="36"/>
      <c r="J13" s="36"/>
      <c r="K13" s="22"/>
      <c r="L13" s="22"/>
      <c r="M13" s="46"/>
      <c r="N13" s="140"/>
      <c r="O13" s="36"/>
      <c r="P13" s="36"/>
      <c r="Q13" s="37"/>
      <c r="R13" s="38"/>
      <c r="S13" s="108"/>
      <c r="T13" s="33"/>
      <c r="U13" s="33"/>
      <c r="V13" s="109"/>
      <c r="W13" s="38"/>
      <c r="X13" s="34"/>
      <c r="Y13" s="48"/>
      <c r="Z13" s="34"/>
      <c r="AA13" s="34"/>
      <c r="AB13" s="34"/>
      <c r="AC13" s="48"/>
      <c r="AD13" s="34"/>
      <c r="AE13" s="34"/>
      <c r="AG13" s="107"/>
      <c r="AH13" s="82">
        <f t="shared" si="1"/>
        <v>0</v>
      </c>
      <c r="AI13" s="82">
        <f t="shared" si="2"/>
        <v>0</v>
      </c>
      <c r="AJ13" s="22"/>
      <c r="AK13" s="34">
        <f>IF(COUNTIF(Y13:Y$102,0)&lt;&gt;0,0,IF(Y13-Y12=1,COUNTIF(AL$7:AL13,"&lt;&gt;0"),0))</f>
        <v>0</v>
      </c>
      <c r="AL13" s="34">
        <f t="shared" si="3"/>
        <v>0</v>
      </c>
      <c r="AM13" s="80"/>
      <c r="AN13" s="34">
        <f>IF(COUNTIF(AC13:AC$102,0)&lt;&gt;0,0,IF(AC13-AC12=1,COUNTIF(AO$7:AO13,"&lt;&gt;0"),0))</f>
        <v>0</v>
      </c>
      <c r="AO13" s="34">
        <f t="shared" si="4"/>
        <v>0</v>
      </c>
      <c r="AP13" s="80"/>
      <c r="AQ13" s="79" t="s">
        <v>41</v>
      </c>
      <c r="AR13" s="72">
        <v>45536</v>
      </c>
      <c r="AS13" s="16">
        <v>169090019</v>
      </c>
      <c r="AT13" s="71" t="s">
        <v>42</v>
      </c>
      <c r="AU13" s="73">
        <v>45540</v>
      </c>
      <c r="AV13" s="73"/>
      <c r="AW13" s="71">
        <f t="shared" ca="1" si="0"/>
        <v>0</v>
      </c>
      <c r="AX13" s="21">
        <v>202409</v>
      </c>
      <c r="AY13" s="64" t="e" cm="1">
        <f t="array" ref="AY13" ca="1">_xll.RssFOPCode("N225MF",AX13)</f>
        <v>#NAME?</v>
      </c>
    </row>
    <row r="14" spans="1:51" ht="15">
      <c r="A14" s="31"/>
      <c r="B14" s="31"/>
      <c r="C14" s="32"/>
      <c r="D14" s="32"/>
      <c r="E14" s="35"/>
      <c r="F14" s="35"/>
      <c r="G14" s="36"/>
      <c r="H14" s="36"/>
      <c r="I14" s="36"/>
      <c r="J14" s="36"/>
      <c r="K14" s="22"/>
      <c r="L14" s="22"/>
      <c r="M14" s="46"/>
      <c r="N14" s="140"/>
      <c r="O14" s="36"/>
      <c r="P14" s="36"/>
      <c r="Q14" s="37"/>
      <c r="R14" s="38"/>
      <c r="S14" s="108"/>
      <c r="T14" s="33"/>
      <c r="U14" s="33"/>
      <c r="V14" s="109"/>
      <c r="W14" s="38"/>
      <c r="X14" s="34"/>
      <c r="Y14" s="48"/>
      <c r="Z14" s="34"/>
      <c r="AA14" s="34"/>
      <c r="AB14" s="34"/>
      <c r="AC14" s="48"/>
      <c r="AD14" s="34"/>
      <c r="AE14" s="34"/>
      <c r="AG14" s="107"/>
      <c r="AH14" s="82">
        <f t="shared" si="1"/>
        <v>0</v>
      </c>
      <c r="AI14" s="82">
        <f t="shared" si="2"/>
        <v>0</v>
      </c>
      <c r="AJ14" s="22"/>
      <c r="AK14" s="34">
        <f>IF(COUNTIF(Y14:Y$102,0)&lt;&gt;0,0,IF(Y14-Y13=1,COUNTIF(AL$7:AL14,"&lt;&gt;0"),0))</f>
        <v>0</v>
      </c>
      <c r="AL14" s="34">
        <f t="shared" si="3"/>
        <v>0</v>
      </c>
      <c r="AM14" s="80"/>
      <c r="AN14" s="34">
        <f>IF(COUNTIF(AC14:AC$102,0)&lt;&gt;0,0,IF(AC14-AC13=1,COUNTIF(AO$7:AO14,"&lt;&gt;0"),0))</f>
        <v>0</v>
      </c>
      <c r="AO14" s="34">
        <f t="shared" si="4"/>
        <v>0</v>
      </c>
      <c r="AP14" s="80"/>
      <c r="AQ14" s="79" t="s">
        <v>41</v>
      </c>
      <c r="AR14" s="72">
        <v>45627</v>
      </c>
      <c r="AS14" s="147">
        <v>169120019</v>
      </c>
      <c r="AT14" s="71" t="s">
        <v>42</v>
      </c>
      <c r="AU14" s="73">
        <v>45631</v>
      </c>
      <c r="AV14" s="73"/>
      <c r="AW14" s="71">
        <f t="shared" ca="1" si="0"/>
        <v>0</v>
      </c>
      <c r="AX14" s="21">
        <v>202412</v>
      </c>
      <c r="AY14" s="64" t="e" cm="1">
        <f t="array" ref="AY14" ca="1">_xll.RssFOPCode("N225MF",AX14)</f>
        <v>#NAME?</v>
      </c>
    </row>
    <row r="15" spans="1:51" ht="15">
      <c r="A15" s="101"/>
      <c r="B15" s="101"/>
      <c r="C15" s="101"/>
      <c r="D15" s="101"/>
      <c r="E15" s="35"/>
      <c r="F15" s="35"/>
      <c r="G15" s="36"/>
      <c r="H15" s="36"/>
      <c r="I15" s="36"/>
      <c r="J15" s="36"/>
      <c r="K15" s="22"/>
      <c r="L15" s="22"/>
      <c r="M15" s="46"/>
      <c r="N15" s="140"/>
      <c r="O15" s="36"/>
      <c r="P15" s="36"/>
      <c r="Q15" s="37"/>
      <c r="R15" s="38"/>
      <c r="S15" s="108"/>
      <c r="T15" s="33"/>
      <c r="U15" s="33"/>
      <c r="V15" s="109"/>
      <c r="W15" s="38"/>
      <c r="X15" s="34"/>
      <c r="Y15" s="48"/>
      <c r="Z15" s="34"/>
      <c r="AA15" s="34"/>
      <c r="AB15" s="34"/>
      <c r="AC15" s="48"/>
      <c r="AD15" s="34"/>
      <c r="AE15" s="34"/>
      <c r="AG15" s="107"/>
      <c r="AH15" s="82">
        <f t="shared" si="1"/>
        <v>0</v>
      </c>
      <c r="AI15" s="82">
        <f t="shared" si="2"/>
        <v>0</v>
      </c>
      <c r="AJ15" s="22"/>
      <c r="AK15" s="34">
        <f>IF(COUNTIF(Y15:Y$102,0)&lt;&gt;0,0,IF(Y15-Y14=1,COUNTIF(AL$7:AL15,"&lt;&gt;0"),0))</f>
        <v>0</v>
      </c>
      <c r="AL15" s="34">
        <f t="shared" si="3"/>
        <v>0</v>
      </c>
      <c r="AM15" s="80"/>
      <c r="AN15" s="34">
        <f>IF(COUNTIF(AC15:AC$102,0)&lt;&gt;0,0,IF(AC15-AC14=1,COUNTIF(AO$7:AO15,"&lt;&gt;0"),0))</f>
        <v>0</v>
      </c>
      <c r="AO15" s="34">
        <f t="shared" si="4"/>
        <v>0</v>
      </c>
      <c r="AP15" s="80"/>
      <c r="AQ15" s="65"/>
      <c r="AU15" s="73"/>
      <c r="AV15" s="73"/>
      <c r="AW15" s="71">
        <f t="shared" ca="1" si="0"/>
        <v>0</v>
      </c>
    </row>
    <row r="16" spans="1:51" ht="15">
      <c r="A16" s="22"/>
      <c r="B16" s="22"/>
      <c r="C16" s="22"/>
      <c r="D16" s="22"/>
      <c r="E16" s="35"/>
      <c r="F16" s="35"/>
      <c r="G16" s="36"/>
      <c r="H16" s="36"/>
      <c r="I16" s="36"/>
      <c r="J16" s="36"/>
      <c r="K16" s="22"/>
      <c r="L16" s="22"/>
      <c r="M16" s="46"/>
      <c r="N16" s="140"/>
      <c r="O16" s="36"/>
      <c r="P16" s="36"/>
      <c r="Q16" s="37"/>
      <c r="R16" s="38"/>
      <c r="S16" s="108"/>
      <c r="T16" s="33"/>
      <c r="U16" s="33"/>
      <c r="V16" s="109"/>
      <c r="W16" s="38"/>
      <c r="X16" s="34"/>
      <c r="Y16" s="48"/>
      <c r="Z16" s="34"/>
      <c r="AA16" s="34"/>
      <c r="AB16" s="34"/>
      <c r="AC16" s="48"/>
      <c r="AD16" s="34"/>
      <c r="AE16" s="34"/>
      <c r="AG16" s="107"/>
      <c r="AH16" s="82">
        <f t="shared" si="1"/>
        <v>0</v>
      </c>
      <c r="AI16" s="82">
        <f t="shared" si="2"/>
        <v>0</v>
      </c>
      <c r="AJ16" s="22"/>
      <c r="AK16" s="34">
        <f>IF(COUNTIF(Y16:Y$102,0)&lt;&gt;0,0,IF(Y16-Y15=1,COUNTIF(AL$7:AL16,"&lt;&gt;0"),0))</f>
        <v>0</v>
      </c>
      <c r="AL16" s="34">
        <f t="shared" si="3"/>
        <v>0</v>
      </c>
      <c r="AM16" s="80"/>
      <c r="AN16" s="34">
        <f>IF(COUNTIF(AC16:AC$102,0)&lt;&gt;0,0,IF(AC16-AC15=1,COUNTIF(AO$7:AO16,"&lt;&gt;0"),0))</f>
        <v>0</v>
      </c>
      <c r="AO16" s="34">
        <f t="shared" si="4"/>
        <v>0</v>
      </c>
      <c r="AP16" s="80"/>
      <c r="AQ16" s="65"/>
      <c r="AU16" s="73"/>
      <c r="AV16" s="73"/>
      <c r="AW16" s="71">
        <f t="shared" ca="1" si="0"/>
        <v>0</v>
      </c>
    </row>
    <row r="17" spans="1:49" ht="15">
      <c r="A17" s="22"/>
      <c r="B17" s="22"/>
      <c r="C17" s="22"/>
      <c r="D17" s="22"/>
      <c r="E17" s="35"/>
      <c r="F17" s="35"/>
      <c r="G17" s="36"/>
      <c r="H17" s="36"/>
      <c r="I17" s="36"/>
      <c r="J17" s="36"/>
      <c r="K17" s="22"/>
      <c r="L17" s="22"/>
      <c r="M17" s="46"/>
      <c r="N17" s="140"/>
      <c r="O17" s="36"/>
      <c r="P17" s="36"/>
      <c r="Q17" s="37"/>
      <c r="R17" s="38"/>
      <c r="S17" s="108"/>
      <c r="T17" s="33"/>
      <c r="U17" s="33"/>
      <c r="V17" s="109"/>
      <c r="W17" s="38"/>
      <c r="X17" s="34"/>
      <c r="Y17" s="48"/>
      <c r="Z17" s="34"/>
      <c r="AA17" s="34"/>
      <c r="AB17" s="34"/>
      <c r="AC17" s="48"/>
      <c r="AD17" s="34"/>
      <c r="AE17" s="34"/>
      <c r="AG17" s="107"/>
      <c r="AH17" s="82">
        <f t="shared" si="1"/>
        <v>0</v>
      </c>
      <c r="AI17" s="82">
        <f t="shared" si="2"/>
        <v>0</v>
      </c>
      <c r="AJ17" s="22"/>
      <c r="AK17" s="34">
        <f>IF(COUNTIF(Y17:Y$102,0)&lt;&gt;0,0,IF(Y17-Y16=1,COUNTIF(AL$7:AL17,"&lt;&gt;0"),0))</f>
        <v>0</v>
      </c>
      <c r="AL17" s="34">
        <f t="shared" si="3"/>
        <v>0</v>
      </c>
      <c r="AM17" s="80"/>
      <c r="AN17" s="34">
        <f>IF(COUNTIF(AC17:AC$102,0)&lt;&gt;0,0,IF(AC17-AC16=1,COUNTIF(AO$7:AO17,"&lt;&gt;0"),0))</f>
        <v>0</v>
      </c>
      <c r="AO17" s="34">
        <f t="shared" si="4"/>
        <v>0</v>
      </c>
      <c r="AP17" s="80"/>
      <c r="AQ17" s="65"/>
      <c r="AU17" s="73"/>
      <c r="AV17" s="73"/>
      <c r="AW17" s="71">
        <f t="shared" ca="1" si="0"/>
        <v>0</v>
      </c>
    </row>
    <row r="18" spans="1:49" ht="15">
      <c r="A18" s="22"/>
      <c r="B18" s="22"/>
      <c r="C18" s="22"/>
      <c r="D18" s="22"/>
      <c r="E18" s="35"/>
      <c r="F18" s="35"/>
      <c r="G18" s="36"/>
      <c r="H18" s="36"/>
      <c r="I18" s="36"/>
      <c r="J18" s="36"/>
      <c r="K18" s="22"/>
      <c r="L18" s="22"/>
      <c r="M18" s="46"/>
      <c r="N18" s="140"/>
      <c r="O18" s="36"/>
      <c r="P18" s="36"/>
      <c r="Q18" s="37"/>
      <c r="R18" s="38"/>
      <c r="S18" s="108"/>
      <c r="T18" s="33"/>
      <c r="U18" s="33"/>
      <c r="V18" s="109"/>
      <c r="W18" s="38"/>
      <c r="X18" s="34"/>
      <c r="Y18" s="48"/>
      <c r="Z18" s="34"/>
      <c r="AA18" s="34"/>
      <c r="AB18" s="34"/>
      <c r="AC18" s="48"/>
      <c r="AD18" s="34"/>
      <c r="AE18" s="34"/>
      <c r="AG18" s="107"/>
      <c r="AH18" s="82">
        <f t="shared" si="1"/>
        <v>0</v>
      </c>
      <c r="AI18" s="82">
        <f t="shared" si="2"/>
        <v>0</v>
      </c>
      <c r="AJ18" s="22"/>
      <c r="AK18" s="34">
        <f>IF(COUNTIF(Y18:Y$102,0)&lt;&gt;0,0,IF(Y18-Y17=1,COUNTIF(AL$7:AL18,"&lt;&gt;0"),0))</f>
        <v>0</v>
      </c>
      <c r="AL18" s="34">
        <f t="shared" si="3"/>
        <v>0</v>
      </c>
      <c r="AM18" s="80"/>
      <c r="AN18" s="34">
        <f>IF(COUNTIF(AC18:AC$102,0)&lt;&gt;0,0,IF(AC18-AC17=1,COUNTIF(AO$7:AO18,"&lt;&gt;0"),0))</f>
        <v>0</v>
      </c>
      <c r="AO18" s="34">
        <f t="shared" si="4"/>
        <v>0</v>
      </c>
      <c r="AP18" s="80"/>
      <c r="AQ18" s="65"/>
    </row>
    <row r="19" spans="1:49" ht="15">
      <c r="A19" s="22"/>
      <c r="B19" s="22"/>
      <c r="C19" s="22"/>
      <c r="D19" s="22"/>
      <c r="E19" s="35"/>
      <c r="F19" s="35"/>
      <c r="G19" s="36"/>
      <c r="H19" s="36"/>
      <c r="I19" s="36"/>
      <c r="J19" s="36"/>
      <c r="K19" s="22"/>
      <c r="L19" s="22"/>
      <c r="M19" s="46"/>
      <c r="N19" s="140"/>
      <c r="O19" s="36"/>
      <c r="P19" s="36"/>
      <c r="Q19" s="37"/>
      <c r="R19" s="38"/>
      <c r="S19" s="108"/>
      <c r="T19" s="33"/>
      <c r="U19" s="33"/>
      <c r="V19" s="109"/>
      <c r="W19" s="38"/>
      <c r="X19" s="34"/>
      <c r="Y19" s="48"/>
      <c r="Z19" s="34"/>
      <c r="AA19" s="34"/>
      <c r="AB19" s="34"/>
      <c r="AC19" s="48"/>
      <c r="AD19" s="34"/>
      <c r="AE19" s="34"/>
      <c r="AG19" s="107"/>
      <c r="AH19" s="82">
        <f t="shared" si="1"/>
        <v>0</v>
      </c>
      <c r="AI19" s="82">
        <f t="shared" si="2"/>
        <v>0</v>
      </c>
      <c r="AJ19" s="22"/>
      <c r="AK19" s="34">
        <f>IF(COUNTIF(Y19:Y$102,0)&lt;&gt;0,0,IF(Y19-Y18=1,COUNTIF(AL$7:AL19,"&lt;&gt;0"),0))</f>
        <v>0</v>
      </c>
      <c r="AL19" s="34">
        <f t="shared" si="3"/>
        <v>0</v>
      </c>
      <c r="AM19" s="80"/>
      <c r="AN19" s="34">
        <f>IF(COUNTIF(AC19:AC$102,0)&lt;&gt;0,0,IF(AC19-AC18=1,COUNTIF(AO$7:AO19,"&lt;&gt;0"),0))</f>
        <v>0</v>
      </c>
      <c r="AO19" s="34">
        <f t="shared" si="4"/>
        <v>0</v>
      </c>
      <c r="AP19" s="80"/>
      <c r="AQ19" s="65"/>
    </row>
    <row r="20" spans="1:49" ht="15">
      <c r="A20" s="22"/>
      <c r="B20" s="22"/>
      <c r="C20" s="22"/>
      <c r="D20" s="22"/>
      <c r="E20" s="35"/>
      <c r="F20" s="35"/>
      <c r="G20" s="36"/>
      <c r="H20" s="36"/>
      <c r="I20" s="36"/>
      <c r="J20" s="36"/>
      <c r="K20" s="38"/>
      <c r="L20" s="57"/>
      <c r="M20" s="46"/>
      <c r="N20" s="140"/>
      <c r="O20" s="36"/>
      <c r="P20" s="36"/>
      <c r="Q20" s="37"/>
      <c r="R20" s="38"/>
      <c r="S20" s="108"/>
      <c r="T20" s="33"/>
      <c r="U20" s="33"/>
      <c r="V20" s="109"/>
      <c r="W20" s="38"/>
      <c r="X20" s="34"/>
      <c r="Y20" s="48"/>
      <c r="Z20" s="34"/>
      <c r="AA20" s="34"/>
      <c r="AB20" s="34"/>
      <c r="AC20" s="48"/>
      <c r="AD20" s="34"/>
      <c r="AE20" s="34"/>
      <c r="AG20" s="107"/>
      <c r="AH20" s="82">
        <f t="shared" si="1"/>
        <v>0</v>
      </c>
      <c r="AI20" s="82">
        <f t="shared" si="2"/>
        <v>0</v>
      </c>
      <c r="AJ20" s="22"/>
      <c r="AK20" s="34">
        <f>IF(COUNTIF(Y20:Y$102,0)&lt;&gt;0,0,IF(Y20-Y19=1,COUNTIF(AL$7:AL20,"&lt;&gt;0"),0))</f>
        <v>0</v>
      </c>
      <c r="AL20" s="34">
        <f t="shared" si="3"/>
        <v>0</v>
      </c>
      <c r="AM20" s="80"/>
      <c r="AN20" s="34">
        <f>IF(COUNTIF(AC20:AC$102,0)&lt;&gt;0,0,IF(AC20-AC19=1,COUNTIF(AO$7:AO20,"&lt;&gt;0"),0))</f>
        <v>0</v>
      </c>
      <c r="AO20" s="34">
        <f t="shared" si="4"/>
        <v>0</v>
      </c>
      <c r="AP20" s="80"/>
      <c r="AQ20" s="65"/>
    </row>
    <row r="21" spans="1:49" ht="15">
      <c r="A21" s="22"/>
      <c r="B21" s="22"/>
      <c r="C21" s="22"/>
      <c r="D21" s="22"/>
      <c r="E21" s="35"/>
      <c r="F21" s="35"/>
      <c r="G21" s="36"/>
      <c r="H21" s="36"/>
      <c r="I21" s="36"/>
      <c r="J21" s="36"/>
      <c r="K21" s="38"/>
      <c r="L21" s="57"/>
      <c r="M21" s="46"/>
      <c r="N21" s="140"/>
      <c r="O21" s="36"/>
      <c r="P21" s="36"/>
      <c r="Q21" s="37"/>
      <c r="R21" s="38"/>
      <c r="S21" s="108"/>
      <c r="T21" s="33"/>
      <c r="U21" s="33"/>
      <c r="V21" s="109"/>
      <c r="W21" s="38"/>
      <c r="X21" s="34"/>
      <c r="Y21" s="48"/>
      <c r="Z21" s="34"/>
      <c r="AA21" s="34"/>
      <c r="AB21" s="34"/>
      <c r="AC21" s="48"/>
      <c r="AD21" s="34"/>
      <c r="AE21" s="34"/>
      <c r="AG21" s="107"/>
      <c r="AH21" s="82">
        <f t="shared" si="1"/>
        <v>0</v>
      </c>
      <c r="AI21" s="82">
        <f t="shared" si="2"/>
        <v>0</v>
      </c>
      <c r="AJ21" s="22"/>
      <c r="AK21" s="34">
        <f>IF(COUNTIF(Y21:Y$102,0)&lt;&gt;0,0,IF(Y21-Y20=1,COUNTIF(AL$7:AL21,"&lt;&gt;0"),0))</f>
        <v>0</v>
      </c>
      <c r="AL21" s="34">
        <f t="shared" si="3"/>
        <v>0</v>
      </c>
      <c r="AM21" s="80"/>
      <c r="AN21" s="34">
        <f>IF(COUNTIF(AC21:AC$102,0)&lt;&gt;0,0,IF(AC21-AC20=1,COUNTIF(AO$7:AO21,"&lt;&gt;0"),0))</f>
        <v>0</v>
      </c>
      <c r="AO21" s="34">
        <f t="shared" si="4"/>
        <v>0</v>
      </c>
      <c r="AP21" s="80"/>
      <c r="AQ21" s="65"/>
    </row>
    <row r="22" spans="1:49" ht="15">
      <c r="A22" s="22"/>
      <c r="B22" s="139"/>
      <c r="C22" s="22"/>
      <c r="D22" s="22"/>
      <c r="E22" s="35"/>
      <c r="F22" s="35"/>
      <c r="G22" s="36"/>
      <c r="H22" s="36"/>
      <c r="I22" s="36"/>
      <c r="J22" s="36"/>
      <c r="K22" s="38"/>
      <c r="L22" s="57"/>
      <c r="M22" s="46"/>
      <c r="N22" s="140"/>
      <c r="O22" s="36"/>
      <c r="P22" s="36"/>
      <c r="Q22" s="37"/>
      <c r="R22" s="38"/>
      <c r="S22" s="108"/>
      <c r="T22" s="33"/>
      <c r="U22" s="33"/>
      <c r="V22" s="109"/>
      <c r="W22" s="38"/>
      <c r="X22" s="34"/>
      <c r="Y22" s="48"/>
      <c r="Z22" s="34"/>
      <c r="AA22" s="34"/>
      <c r="AB22" s="34"/>
      <c r="AC22" s="48"/>
      <c r="AD22" s="34"/>
      <c r="AE22" s="34"/>
      <c r="AG22" s="107"/>
      <c r="AH22" s="82">
        <f t="shared" si="1"/>
        <v>0</v>
      </c>
      <c r="AI22" s="82">
        <f t="shared" si="2"/>
        <v>0</v>
      </c>
      <c r="AJ22" s="22"/>
      <c r="AK22" s="34">
        <f>IF(COUNTIF(Y22:Y$102,0)&lt;&gt;0,0,IF(Y22-Y21=1,COUNTIF(AL$7:AL22,"&lt;&gt;0"),0))</f>
        <v>0</v>
      </c>
      <c r="AL22" s="34">
        <f t="shared" si="3"/>
        <v>0</v>
      </c>
      <c r="AM22" s="80"/>
      <c r="AN22" s="34">
        <f>IF(COUNTIF(AC22:AC$102,0)&lt;&gt;0,0,IF(AC22-AC21=1,COUNTIF(AO$7:AO22,"&lt;&gt;0"),0))</f>
        <v>0</v>
      </c>
      <c r="AO22" s="34">
        <f t="shared" si="4"/>
        <v>0</v>
      </c>
      <c r="AP22" s="80"/>
      <c r="AQ22" s="65"/>
    </row>
    <row r="23" spans="1:49" ht="15">
      <c r="A23" s="22"/>
      <c r="B23" s="139"/>
      <c r="C23" s="22"/>
      <c r="D23" s="22"/>
      <c r="E23" s="35"/>
      <c r="F23" s="35"/>
      <c r="G23" s="36"/>
      <c r="H23" s="36"/>
      <c r="I23" s="36"/>
      <c r="J23" s="36"/>
      <c r="K23" s="38"/>
      <c r="L23" s="57"/>
      <c r="M23" s="46"/>
      <c r="N23" s="140"/>
      <c r="O23" s="36"/>
      <c r="P23" s="36"/>
      <c r="Q23" s="37"/>
      <c r="R23" s="38"/>
      <c r="S23" s="108"/>
      <c r="T23" s="33"/>
      <c r="U23" s="33"/>
      <c r="V23" s="109"/>
      <c r="W23" s="38"/>
      <c r="X23" s="34"/>
      <c r="Y23" s="48"/>
      <c r="Z23" s="34"/>
      <c r="AA23" s="34"/>
      <c r="AB23" s="34"/>
      <c r="AC23" s="48"/>
      <c r="AD23" s="34"/>
      <c r="AE23" s="34"/>
      <c r="AG23" s="107"/>
      <c r="AH23" s="82">
        <f t="shared" si="1"/>
        <v>0</v>
      </c>
      <c r="AI23" s="82">
        <f t="shared" si="2"/>
        <v>0</v>
      </c>
      <c r="AJ23" s="22"/>
      <c r="AK23" s="34">
        <f>IF(COUNTIF(Y23:Y$102,0)&lt;&gt;0,0,IF(Y23-Y22=1,COUNTIF(AL$7:AL23,"&lt;&gt;0"),0))</f>
        <v>0</v>
      </c>
      <c r="AL23" s="34">
        <f t="shared" si="3"/>
        <v>0</v>
      </c>
      <c r="AM23" s="80"/>
      <c r="AN23" s="34">
        <f>IF(COUNTIF(AC23:AC$102,0)&lt;&gt;0,0,IF(AC23-AC22=1,COUNTIF(AO$7:AO23,"&lt;&gt;0"),0))</f>
        <v>0</v>
      </c>
      <c r="AO23" s="34">
        <f t="shared" si="4"/>
        <v>0</v>
      </c>
      <c r="AP23" s="80"/>
      <c r="AQ23" s="65"/>
    </row>
    <row r="24" spans="1:49" ht="15">
      <c r="A24" s="22"/>
      <c r="B24" s="139"/>
      <c r="C24" s="22"/>
      <c r="D24" s="22"/>
      <c r="E24" s="35"/>
      <c r="F24" s="35"/>
      <c r="G24" s="36"/>
      <c r="H24" s="36"/>
      <c r="I24" s="36"/>
      <c r="J24" s="36"/>
      <c r="K24" s="38"/>
      <c r="L24" s="57"/>
      <c r="M24" s="46"/>
      <c r="N24" s="140"/>
      <c r="O24" s="36"/>
      <c r="P24" s="36"/>
      <c r="Q24" s="37"/>
      <c r="R24" s="38"/>
      <c r="S24" s="108"/>
      <c r="T24" s="33"/>
      <c r="U24" s="33"/>
      <c r="V24" s="109"/>
      <c r="W24" s="38"/>
      <c r="X24" s="34"/>
      <c r="Y24" s="48"/>
      <c r="Z24" s="34"/>
      <c r="AA24" s="34"/>
      <c r="AB24" s="34"/>
      <c r="AC24" s="48"/>
      <c r="AD24" s="34"/>
      <c r="AE24" s="34"/>
      <c r="AG24" s="107"/>
      <c r="AH24" s="82">
        <f t="shared" si="1"/>
        <v>0</v>
      </c>
      <c r="AI24" s="82">
        <f t="shared" si="2"/>
        <v>0</v>
      </c>
      <c r="AJ24" s="22"/>
      <c r="AK24" s="34">
        <f>IF(COUNTIF(Y24:Y$102,0)&lt;&gt;0,0,IF(Y24-Y23=1,COUNTIF(AL$7:AL24,"&lt;&gt;0"),0))</f>
        <v>0</v>
      </c>
      <c r="AL24" s="34">
        <f t="shared" si="3"/>
        <v>0</v>
      </c>
      <c r="AM24" s="80"/>
      <c r="AN24" s="34">
        <f>IF(COUNTIF(AC24:AC$102,0)&lt;&gt;0,0,IF(AC24-AC23=1,COUNTIF(AO$7:AO24,"&lt;&gt;0"),0))</f>
        <v>0</v>
      </c>
      <c r="AO24" s="34">
        <f t="shared" si="4"/>
        <v>0</v>
      </c>
      <c r="AP24" s="80"/>
    </row>
    <row r="25" spans="1:49" ht="15">
      <c r="A25" s="22"/>
      <c r="B25" s="139"/>
      <c r="C25" s="22"/>
      <c r="D25" s="22"/>
      <c r="E25" s="35"/>
      <c r="F25" s="35"/>
      <c r="G25" s="36"/>
      <c r="H25" s="36"/>
      <c r="I25" s="36"/>
      <c r="J25" s="36"/>
      <c r="K25" s="38"/>
      <c r="L25" s="57"/>
      <c r="M25" s="46"/>
      <c r="N25" s="140"/>
      <c r="O25" s="36"/>
      <c r="P25" s="36"/>
      <c r="Q25" s="37"/>
      <c r="R25" s="38"/>
      <c r="S25" s="108"/>
      <c r="T25" s="33"/>
      <c r="U25" s="33"/>
      <c r="V25" s="109"/>
      <c r="W25" s="38"/>
      <c r="X25" s="34"/>
      <c r="Y25" s="48"/>
      <c r="Z25" s="34"/>
      <c r="AA25" s="34"/>
      <c r="AB25" s="34"/>
      <c r="AC25" s="48"/>
      <c r="AD25" s="34"/>
      <c r="AE25" s="34"/>
      <c r="AG25" s="107"/>
      <c r="AH25" s="82">
        <f t="shared" si="1"/>
        <v>0</v>
      </c>
      <c r="AI25" s="82">
        <f t="shared" si="2"/>
        <v>0</v>
      </c>
      <c r="AJ25" s="22"/>
      <c r="AK25" s="34">
        <f>IF(COUNTIF(Y25:Y$102,0)&lt;&gt;0,0,IF(Y25-Y24=1,COUNTIF(AL$7:AL25,"&lt;&gt;0"),0))</f>
        <v>0</v>
      </c>
      <c r="AL25" s="34">
        <f t="shared" si="3"/>
        <v>0</v>
      </c>
      <c r="AM25" s="80"/>
      <c r="AN25" s="34">
        <f>IF(COUNTIF(AC25:AC$102,0)&lt;&gt;0,0,IF(AC25-AC24=1,COUNTIF(AO$7:AO25,"&lt;&gt;0"),0))</f>
        <v>0</v>
      </c>
      <c r="AO25" s="34">
        <f t="shared" si="4"/>
        <v>0</v>
      </c>
      <c r="AP25" s="80"/>
    </row>
    <row r="26" spans="1:49" ht="15">
      <c r="A26" s="22"/>
      <c r="B26" s="139"/>
      <c r="C26" s="22"/>
      <c r="D26" s="22"/>
      <c r="E26" s="35"/>
      <c r="F26" s="35"/>
      <c r="G26" s="36"/>
      <c r="H26" s="36"/>
      <c r="I26" s="36"/>
      <c r="J26" s="36"/>
      <c r="K26" s="38"/>
      <c r="L26" s="57"/>
      <c r="M26" s="46"/>
      <c r="N26" s="140"/>
      <c r="O26" s="36"/>
      <c r="P26" s="36"/>
      <c r="Q26" s="37"/>
      <c r="R26" s="38"/>
      <c r="S26" s="108"/>
      <c r="T26" s="33"/>
      <c r="U26" s="33"/>
      <c r="V26" s="109"/>
      <c r="W26" s="38"/>
      <c r="X26" s="34"/>
      <c r="Y26" s="48"/>
      <c r="Z26" s="34"/>
      <c r="AA26" s="34"/>
      <c r="AB26" s="34"/>
      <c r="AC26" s="48"/>
      <c r="AD26" s="34"/>
      <c r="AE26" s="34"/>
      <c r="AG26" s="107"/>
      <c r="AH26" s="82">
        <f t="shared" si="1"/>
        <v>0</v>
      </c>
      <c r="AI26" s="82">
        <f t="shared" si="2"/>
        <v>0</v>
      </c>
      <c r="AJ26" s="22"/>
      <c r="AK26" s="34">
        <f>IF(COUNTIF(Y26:Y$102,0)&lt;&gt;0,0,IF(Y26-Y25=1,COUNTIF(AL$7:AL26,"&lt;&gt;0"),0))</f>
        <v>0</v>
      </c>
      <c r="AL26" s="34">
        <f t="shared" si="3"/>
        <v>0</v>
      </c>
      <c r="AM26" s="80"/>
      <c r="AN26" s="34">
        <f>IF(COUNTIF(AC26:AC$102,0)&lt;&gt;0,0,IF(AC26-AC25=1,COUNTIF(AO$7:AO26,"&lt;&gt;0"),0))</f>
        <v>0</v>
      </c>
      <c r="AO26" s="34">
        <f t="shared" si="4"/>
        <v>0</v>
      </c>
      <c r="AP26" s="80"/>
    </row>
    <row r="27" spans="1:49" ht="15">
      <c r="A27" s="22"/>
      <c r="B27" s="139"/>
      <c r="C27" s="22"/>
      <c r="D27" s="22"/>
      <c r="E27" s="35"/>
      <c r="F27" s="35"/>
      <c r="G27" s="36"/>
      <c r="H27" s="36"/>
      <c r="I27" s="36"/>
      <c r="J27" s="36"/>
      <c r="K27" s="38"/>
      <c r="L27" s="57"/>
      <c r="M27" s="46"/>
      <c r="N27" s="140"/>
      <c r="O27" s="36"/>
      <c r="P27" s="36"/>
      <c r="Q27" s="37"/>
      <c r="R27" s="38"/>
      <c r="S27" s="108"/>
      <c r="T27" s="33"/>
      <c r="U27" s="33"/>
      <c r="V27" s="109"/>
      <c r="W27" s="38"/>
      <c r="X27" s="34"/>
      <c r="Y27" s="48"/>
      <c r="Z27" s="34"/>
      <c r="AA27" s="34"/>
      <c r="AB27" s="34"/>
      <c r="AC27" s="48"/>
      <c r="AD27" s="34"/>
      <c r="AE27" s="34"/>
      <c r="AG27" s="107"/>
      <c r="AH27" s="82">
        <f t="shared" si="1"/>
        <v>0</v>
      </c>
      <c r="AI27" s="82">
        <f t="shared" si="2"/>
        <v>0</v>
      </c>
      <c r="AJ27" s="22"/>
      <c r="AK27" s="34">
        <f>IF(COUNTIF(Y27:Y$102,0)&lt;&gt;0,0,IF(Y27-Y26=1,COUNTIF(AL$7:AL27,"&lt;&gt;0"),0))</f>
        <v>0</v>
      </c>
      <c r="AL27" s="34">
        <f t="shared" si="3"/>
        <v>0</v>
      </c>
      <c r="AM27" s="80"/>
      <c r="AN27" s="34">
        <f>IF(COUNTIF(AC27:AC$102,0)&lt;&gt;0,0,IF(AC27-AC26=1,COUNTIF(AO$7:AO27,"&lt;&gt;0"),0))</f>
        <v>0</v>
      </c>
      <c r="AO27" s="34">
        <f t="shared" si="4"/>
        <v>0</v>
      </c>
      <c r="AP27" s="80"/>
    </row>
    <row r="28" spans="1:49" ht="15">
      <c r="A28" s="22"/>
      <c r="B28" s="139"/>
      <c r="C28" s="22"/>
      <c r="D28" s="22"/>
      <c r="E28" s="35"/>
      <c r="F28" s="35"/>
      <c r="G28" s="36"/>
      <c r="H28" s="36"/>
      <c r="I28" s="36"/>
      <c r="J28" s="36"/>
      <c r="K28" s="38"/>
      <c r="L28" s="57"/>
      <c r="M28" s="46"/>
      <c r="N28" s="140"/>
      <c r="O28" s="36"/>
      <c r="P28" s="36"/>
      <c r="Q28" s="37"/>
      <c r="R28" s="38"/>
      <c r="S28" s="108"/>
      <c r="T28" s="33"/>
      <c r="U28" s="33"/>
      <c r="V28" s="109"/>
      <c r="W28" s="38"/>
      <c r="X28" s="34"/>
      <c r="Y28" s="48"/>
      <c r="Z28" s="34"/>
      <c r="AA28" s="34"/>
      <c r="AB28" s="34"/>
      <c r="AC28" s="48"/>
      <c r="AD28" s="34"/>
      <c r="AE28" s="34"/>
      <c r="AG28" s="107"/>
      <c r="AH28" s="82">
        <f t="shared" si="1"/>
        <v>0</v>
      </c>
      <c r="AI28" s="82">
        <f t="shared" si="2"/>
        <v>0</v>
      </c>
      <c r="AJ28" s="22"/>
      <c r="AK28" s="34">
        <f>IF(COUNTIF(Y28:Y$102,0)&lt;&gt;0,0,IF(Y28-Y27=1,COUNTIF(AL$7:AL28,"&lt;&gt;0"),0))</f>
        <v>0</v>
      </c>
      <c r="AL28" s="34">
        <f t="shared" si="3"/>
        <v>0</v>
      </c>
      <c r="AM28" s="80"/>
      <c r="AN28" s="34">
        <f>IF(COUNTIF(AC28:AC$102,0)&lt;&gt;0,0,IF(AC28-AC27=1,COUNTIF(AO$7:AO28,"&lt;&gt;0"),0))</f>
        <v>0</v>
      </c>
      <c r="AO28" s="34">
        <f t="shared" si="4"/>
        <v>0</v>
      </c>
      <c r="AP28" s="80"/>
    </row>
    <row r="29" spans="1:49" ht="15">
      <c r="A29" s="22"/>
      <c r="B29" s="139"/>
      <c r="C29" s="22"/>
      <c r="D29" s="22"/>
      <c r="E29" s="35"/>
      <c r="F29" s="35"/>
      <c r="G29" s="36"/>
      <c r="H29" s="36"/>
      <c r="I29" s="36"/>
      <c r="J29" s="36"/>
      <c r="K29" s="38"/>
      <c r="L29" s="57"/>
      <c r="M29" s="46"/>
      <c r="N29" s="140"/>
      <c r="O29" s="36"/>
      <c r="P29" s="36"/>
      <c r="Q29" s="37"/>
      <c r="R29" s="38"/>
      <c r="S29" s="108"/>
      <c r="T29" s="33"/>
      <c r="U29" s="33"/>
      <c r="V29" s="109"/>
      <c r="W29" s="38"/>
      <c r="X29" s="34"/>
      <c r="Y29" s="48"/>
      <c r="Z29" s="34"/>
      <c r="AA29" s="34"/>
      <c r="AB29" s="34"/>
      <c r="AC29" s="48"/>
      <c r="AD29" s="34"/>
      <c r="AE29" s="34"/>
      <c r="AG29" s="107"/>
      <c r="AH29" s="82">
        <f t="shared" si="1"/>
        <v>0</v>
      </c>
      <c r="AI29" s="82">
        <f t="shared" si="2"/>
        <v>0</v>
      </c>
      <c r="AJ29" s="22"/>
      <c r="AK29" s="34">
        <f>IF(COUNTIF(Y29:Y$102,0)&lt;&gt;0,0,IF(Y29-Y28=1,COUNTIF(AL$7:AL29,"&lt;&gt;0"),0))</f>
        <v>0</v>
      </c>
      <c r="AL29" s="34">
        <f t="shared" si="3"/>
        <v>0</v>
      </c>
      <c r="AM29" s="80"/>
      <c r="AN29" s="34">
        <f>IF(COUNTIF(AC29:AC$102,0)&lt;&gt;0,0,IF(AC29-AC28=1,COUNTIF(AO$7:AO29,"&lt;&gt;0"),0))</f>
        <v>0</v>
      </c>
      <c r="AO29" s="34">
        <f t="shared" si="4"/>
        <v>0</v>
      </c>
      <c r="AP29" s="80"/>
    </row>
    <row r="30" spans="1:49" ht="15">
      <c r="A30" s="22"/>
      <c r="B30" s="139"/>
      <c r="C30" s="22"/>
      <c r="D30" s="22"/>
      <c r="E30" s="35"/>
      <c r="F30" s="35"/>
      <c r="G30" s="36"/>
      <c r="H30" s="36"/>
      <c r="I30" s="36"/>
      <c r="J30" s="36"/>
      <c r="K30" s="38"/>
      <c r="L30" s="57"/>
      <c r="M30" s="46"/>
      <c r="N30" s="140"/>
      <c r="O30" s="36"/>
      <c r="P30" s="36"/>
      <c r="Q30" s="37"/>
      <c r="R30" s="38"/>
      <c r="S30" s="108"/>
      <c r="T30" s="33"/>
      <c r="U30" s="33"/>
      <c r="V30" s="109"/>
      <c r="W30" s="38"/>
      <c r="X30" s="34"/>
      <c r="Y30" s="48"/>
      <c r="Z30" s="34"/>
      <c r="AA30" s="34"/>
      <c r="AB30" s="34"/>
      <c r="AC30" s="48"/>
      <c r="AD30" s="34"/>
      <c r="AE30" s="34"/>
      <c r="AG30" s="107"/>
      <c r="AH30" s="82">
        <f t="shared" si="1"/>
        <v>0</v>
      </c>
      <c r="AI30" s="82">
        <f t="shared" si="2"/>
        <v>0</v>
      </c>
      <c r="AJ30" s="22"/>
      <c r="AK30" s="34">
        <f>IF(COUNTIF(Y30:Y$102,0)&lt;&gt;0,0,IF(Y30-Y29=1,COUNTIF(AL$7:AL30,"&lt;&gt;0"),0))</f>
        <v>0</v>
      </c>
      <c r="AL30" s="34">
        <f t="shared" si="3"/>
        <v>0</v>
      </c>
      <c r="AM30" s="80"/>
      <c r="AN30" s="34">
        <f>IF(COUNTIF(AC30:AC$102,0)&lt;&gt;0,0,IF(AC30-AC29=1,COUNTIF(AO$7:AO30,"&lt;&gt;0"),0))</f>
        <v>0</v>
      </c>
      <c r="AO30" s="34">
        <f t="shared" si="4"/>
        <v>0</v>
      </c>
      <c r="AP30" s="80"/>
    </row>
    <row r="31" spans="1:49" ht="15">
      <c r="A31" s="22"/>
      <c r="B31" s="139"/>
      <c r="C31" s="22"/>
      <c r="D31" s="22"/>
      <c r="E31" s="35"/>
      <c r="F31" s="35"/>
      <c r="G31" s="36"/>
      <c r="H31" s="36"/>
      <c r="I31" s="36"/>
      <c r="J31" s="36"/>
      <c r="K31" s="38"/>
      <c r="L31" s="57"/>
      <c r="M31" s="46"/>
      <c r="N31" s="140"/>
      <c r="O31" s="36"/>
      <c r="P31" s="36"/>
      <c r="Q31" s="37"/>
      <c r="R31" s="38"/>
      <c r="S31" s="108"/>
      <c r="T31" s="33"/>
      <c r="U31" s="33"/>
      <c r="V31" s="109"/>
      <c r="W31" s="38"/>
      <c r="X31" s="34"/>
      <c r="Y31" s="48"/>
      <c r="Z31" s="34"/>
      <c r="AA31" s="34"/>
      <c r="AB31" s="34"/>
      <c r="AC31" s="48"/>
      <c r="AD31" s="34"/>
      <c r="AE31" s="34"/>
      <c r="AG31" s="107"/>
      <c r="AH31" s="82">
        <f t="shared" si="1"/>
        <v>0</v>
      </c>
      <c r="AI31" s="82">
        <f t="shared" si="2"/>
        <v>0</v>
      </c>
      <c r="AJ31" s="22"/>
      <c r="AK31" s="34">
        <f>IF(COUNTIF(Y31:Y$102,0)&lt;&gt;0,0,IF(Y31-Y30=1,COUNTIF(AL$7:AL31,"&lt;&gt;0"),0))</f>
        <v>0</v>
      </c>
      <c r="AL31" s="34">
        <f t="shared" si="3"/>
        <v>0</v>
      </c>
      <c r="AM31" s="80"/>
      <c r="AN31" s="34">
        <f>IF(COUNTIF(AC31:AC$102,0)&lt;&gt;0,0,IF(AC31-AC30=1,COUNTIF(AO$7:AO31,"&lt;&gt;0"),0))</f>
        <v>0</v>
      </c>
      <c r="AO31" s="34">
        <f t="shared" si="4"/>
        <v>0</v>
      </c>
      <c r="AP31" s="80"/>
    </row>
    <row r="32" spans="1:49" ht="15">
      <c r="A32" s="22"/>
      <c r="B32" s="22"/>
      <c r="C32" s="22"/>
      <c r="D32" s="22"/>
      <c r="E32" s="35"/>
      <c r="F32" s="35"/>
      <c r="G32" s="36"/>
      <c r="H32" s="36"/>
      <c r="I32" s="36"/>
      <c r="J32" s="36"/>
      <c r="K32" s="38"/>
      <c r="L32" s="57"/>
      <c r="M32" s="46"/>
      <c r="N32" s="140"/>
      <c r="O32" s="36"/>
      <c r="P32" s="36"/>
      <c r="Q32" s="37"/>
      <c r="R32" s="38"/>
      <c r="S32" s="108"/>
      <c r="T32" s="33"/>
      <c r="U32" s="33"/>
      <c r="V32" s="109"/>
      <c r="W32" s="38"/>
      <c r="X32" s="34"/>
      <c r="Y32" s="48"/>
      <c r="Z32" s="34"/>
      <c r="AA32" s="34"/>
      <c r="AB32" s="34"/>
      <c r="AC32" s="48"/>
      <c r="AD32" s="34"/>
      <c r="AE32" s="34"/>
      <c r="AG32" s="107"/>
      <c r="AH32" s="82">
        <f t="shared" si="1"/>
        <v>0</v>
      </c>
      <c r="AI32" s="82">
        <f t="shared" si="2"/>
        <v>0</v>
      </c>
      <c r="AJ32" s="22"/>
      <c r="AK32" s="34">
        <f>IF(COUNTIF(Y32:Y$102,0)&lt;&gt;0,0,IF(Y32-Y31=1,COUNTIF(AL$7:AL32,"&lt;&gt;0"),0))</f>
        <v>0</v>
      </c>
      <c r="AL32" s="34">
        <f t="shared" si="3"/>
        <v>0</v>
      </c>
      <c r="AM32" s="80"/>
      <c r="AN32" s="34">
        <f>IF(COUNTIF(AC32:AC$102,0)&lt;&gt;0,0,IF(AC32-AC31=1,COUNTIF(AO$7:AO32,"&lt;&gt;0"),0))</f>
        <v>0</v>
      </c>
      <c r="AO32" s="34">
        <f t="shared" si="4"/>
        <v>0</v>
      </c>
      <c r="AP32" s="80"/>
    </row>
    <row r="33" spans="1:44" ht="15">
      <c r="A33" s="22"/>
      <c r="B33" s="22"/>
      <c r="C33" s="22"/>
      <c r="D33" s="22"/>
      <c r="E33" s="35"/>
      <c r="F33" s="35"/>
      <c r="G33" s="36"/>
      <c r="H33" s="36"/>
      <c r="I33" s="36"/>
      <c r="J33" s="36"/>
      <c r="K33" s="38"/>
      <c r="L33" s="57"/>
      <c r="M33" s="46"/>
      <c r="N33" s="140"/>
      <c r="O33" s="36"/>
      <c r="P33" s="36"/>
      <c r="Q33" s="37"/>
      <c r="R33" s="38"/>
      <c r="S33" s="108"/>
      <c r="T33" s="33"/>
      <c r="U33" s="33"/>
      <c r="V33" s="109"/>
      <c r="W33" s="38"/>
      <c r="X33" s="34"/>
      <c r="Y33" s="48"/>
      <c r="Z33" s="34"/>
      <c r="AA33" s="34"/>
      <c r="AB33" s="34"/>
      <c r="AC33" s="48"/>
      <c r="AD33" s="34"/>
      <c r="AE33" s="34"/>
      <c r="AG33" s="107"/>
      <c r="AH33" s="82">
        <f t="shared" si="1"/>
        <v>0</v>
      </c>
      <c r="AI33" s="82">
        <f t="shared" si="2"/>
        <v>0</v>
      </c>
      <c r="AJ33" s="22"/>
      <c r="AK33" s="34">
        <f>IF(COUNTIF(Y33:Y$102,0)&lt;&gt;0,0,IF(Y33-Y32=1,COUNTIF(AL$7:AL33,"&lt;&gt;0"),0))</f>
        <v>0</v>
      </c>
      <c r="AL33" s="34">
        <f t="shared" si="3"/>
        <v>0</v>
      </c>
      <c r="AM33" s="80"/>
      <c r="AN33" s="34">
        <f>IF(COUNTIF(AC33:AC$102,0)&lt;&gt;0,0,IF(AC33-AC32=1,COUNTIF(AO$7:AO33,"&lt;&gt;0"),0))</f>
        <v>0</v>
      </c>
      <c r="AO33" s="34">
        <f t="shared" si="4"/>
        <v>0</v>
      </c>
      <c r="AP33" s="80"/>
    </row>
    <row r="34" spans="1:44" ht="15">
      <c r="A34" s="22"/>
      <c r="B34" s="22"/>
      <c r="C34" s="22"/>
      <c r="D34" s="22"/>
      <c r="E34" s="35"/>
      <c r="F34" s="35"/>
      <c r="G34" s="36"/>
      <c r="H34" s="36"/>
      <c r="I34" s="36"/>
      <c r="J34" s="36"/>
      <c r="K34" s="38"/>
      <c r="L34" s="57"/>
      <c r="M34" s="46"/>
      <c r="N34" s="140"/>
      <c r="O34" s="36"/>
      <c r="P34" s="36"/>
      <c r="Q34" s="37"/>
      <c r="R34" s="38"/>
      <c r="S34" s="108"/>
      <c r="T34" s="33"/>
      <c r="U34" s="33"/>
      <c r="V34" s="109"/>
      <c r="W34" s="38"/>
      <c r="X34" s="34"/>
      <c r="Y34" s="48"/>
      <c r="Z34" s="34"/>
      <c r="AA34" s="34"/>
      <c r="AB34" s="34"/>
      <c r="AC34" s="48"/>
      <c r="AD34" s="34"/>
      <c r="AE34" s="34"/>
      <c r="AG34" s="107"/>
      <c r="AH34" s="82">
        <f t="shared" si="1"/>
        <v>0</v>
      </c>
      <c r="AI34" s="82">
        <f t="shared" si="2"/>
        <v>0</v>
      </c>
      <c r="AJ34" s="22"/>
      <c r="AK34" s="34">
        <f>IF(COUNTIF(Y34:Y$102,0)&lt;&gt;0,0,IF(Y34-Y33=1,COUNTIF(AL$7:AL34,"&lt;&gt;0"),0))</f>
        <v>0</v>
      </c>
      <c r="AL34" s="34">
        <f t="shared" si="3"/>
        <v>0</v>
      </c>
      <c r="AM34" s="80"/>
      <c r="AN34" s="34">
        <f>IF(COUNTIF(AC34:AC$102,0)&lt;&gt;0,0,IF(AC34-AC33=1,COUNTIF(AO$7:AO34,"&lt;&gt;0"),0))</f>
        <v>0</v>
      </c>
      <c r="AO34" s="34">
        <f t="shared" si="4"/>
        <v>0</v>
      </c>
      <c r="AP34" s="80"/>
    </row>
    <row r="35" spans="1:44" ht="15">
      <c r="A35" s="22"/>
      <c r="B35" s="22"/>
      <c r="C35" s="22"/>
      <c r="D35" s="22"/>
      <c r="E35" s="35"/>
      <c r="F35" s="35"/>
      <c r="G35" s="36"/>
      <c r="H35" s="36"/>
      <c r="I35" s="36"/>
      <c r="J35" s="36"/>
      <c r="K35" s="38"/>
      <c r="L35" s="57"/>
      <c r="M35" s="46"/>
      <c r="N35" s="140"/>
      <c r="O35" s="36"/>
      <c r="P35" s="36"/>
      <c r="Q35" s="37"/>
      <c r="R35" s="38"/>
      <c r="S35" s="108"/>
      <c r="T35" s="33"/>
      <c r="U35" s="33"/>
      <c r="V35" s="109"/>
      <c r="W35" s="38"/>
      <c r="X35" s="34"/>
      <c r="Y35" s="48"/>
      <c r="Z35" s="34"/>
      <c r="AA35" s="34"/>
      <c r="AB35" s="34"/>
      <c r="AC35" s="48"/>
      <c r="AD35" s="34"/>
      <c r="AE35" s="34"/>
      <c r="AG35" s="107"/>
      <c r="AH35" s="82">
        <f t="shared" si="1"/>
        <v>0</v>
      </c>
      <c r="AI35" s="82">
        <f t="shared" si="2"/>
        <v>0</v>
      </c>
      <c r="AJ35" s="22"/>
      <c r="AK35" s="34">
        <f>IF(COUNTIF(Y35:Y$102,0)&lt;&gt;0,0,IF(Y35-Y34=1,COUNTIF(AL$7:AL35,"&lt;&gt;0"),0))</f>
        <v>0</v>
      </c>
      <c r="AL35" s="34">
        <f t="shared" si="3"/>
        <v>0</v>
      </c>
      <c r="AM35" s="80"/>
      <c r="AN35" s="34">
        <f>IF(COUNTIF(AC35:AC$102,0)&lt;&gt;0,0,IF(AC35-AC34=1,COUNTIF(AO$7:AO35,"&lt;&gt;0"),0))</f>
        <v>0</v>
      </c>
      <c r="AO35" s="34">
        <f t="shared" si="4"/>
        <v>0</v>
      </c>
      <c r="AP35" s="80"/>
    </row>
    <row r="36" spans="1:44" ht="15">
      <c r="A36" s="22"/>
      <c r="B36" s="22"/>
      <c r="C36" s="22"/>
      <c r="D36" s="22"/>
      <c r="E36" s="35"/>
      <c r="F36" s="35"/>
      <c r="G36" s="36"/>
      <c r="H36" s="36"/>
      <c r="I36" s="36"/>
      <c r="J36" s="36"/>
      <c r="K36" s="38"/>
      <c r="L36" s="57"/>
      <c r="M36" s="46"/>
      <c r="N36" s="140"/>
      <c r="O36" s="36"/>
      <c r="P36" s="36"/>
      <c r="Q36" s="37"/>
      <c r="R36" s="38"/>
      <c r="S36" s="108"/>
      <c r="T36" s="33"/>
      <c r="U36" s="33"/>
      <c r="V36" s="109"/>
      <c r="W36" s="38"/>
      <c r="X36" s="34"/>
      <c r="Y36" s="48"/>
      <c r="Z36" s="34"/>
      <c r="AA36" s="34"/>
      <c r="AB36" s="34"/>
      <c r="AC36" s="48"/>
      <c r="AD36" s="34"/>
      <c r="AE36" s="34"/>
      <c r="AG36" s="107"/>
      <c r="AH36" s="82">
        <f t="shared" si="1"/>
        <v>0</v>
      </c>
      <c r="AI36" s="82">
        <f t="shared" si="2"/>
        <v>0</v>
      </c>
      <c r="AJ36" s="22"/>
      <c r="AK36" s="34">
        <f>IF(COUNTIF(Y36:Y$102,0)&lt;&gt;0,0,IF(Y36-Y35=1,COUNTIF(AL$7:AL36,"&lt;&gt;0"),0))</f>
        <v>0</v>
      </c>
      <c r="AL36" s="34">
        <f t="shared" si="3"/>
        <v>0</v>
      </c>
      <c r="AM36" s="80"/>
      <c r="AN36" s="34">
        <f>IF(COUNTIF(AC36:AC$102,0)&lt;&gt;0,0,IF(AC36-AC35=1,COUNTIF(AO$7:AO36,"&lt;&gt;0"),0))</f>
        <v>0</v>
      </c>
      <c r="AO36" s="34">
        <f t="shared" si="4"/>
        <v>0</v>
      </c>
      <c r="AP36" s="80"/>
      <c r="AR36" s="58"/>
    </row>
    <row r="37" spans="1:44" ht="15">
      <c r="A37" s="22"/>
      <c r="B37" s="22"/>
      <c r="C37" s="22"/>
      <c r="D37" s="22"/>
      <c r="E37" s="35"/>
      <c r="F37" s="35"/>
      <c r="G37" s="36"/>
      <c r="H37" s="36"/>
      <c r="I37" s="36"/>
      <c r="J37" s="36"/>
      <c r="K37" s="38"/>
      <c r="L37" s="57"/>
      <c r="M37" s="46"/>
      <c r="N37" s="140"/>
      <c r="O37" s="36"/>
      <c r="P37" s="36"/>
      <c r="Q37" s="37"/>
      <c r="R37" s="38"/>
      <c r="S37" s="108"/>
      <c r="T37" s="33"/>
      <c r="U37" s="33"/>
      <c r="V37" s="109"/>
      <c r="W37" s="38"/>
      <c r="X37" s="34"/>
      <c r="Y37" s="48"/>
      <c r="Z37" s="34"/>
      <c r="AA37" s="34"/>
      <c r="AB37" s="34"/>
      <c r="AC37" s="48"/>
      <c r="AD37" s="34"/>
      <c r="AE37" s="34"/>
      <c r="AG37" s="107"/>
      <c r="AH37" s="82">
        <f t="shared" si="1"/>
        <v>0</v>
      </c>
      <c r="AI37" s="82">
        <f t="shared" si="2"/>
        <v>0</v>
      </c>
      <c r="AJ37" s="22"/>
      <c r="AK37" s="34">
        <f>IF(COUNTIF(Y37:Y$102,0)&lt;&gt;0,0,IF(Y37-Y36=1,COUNTIF(AL$7:AL37,"&lt;&gt;0"),0))</f>
        <v>0</v>
      </c>
      <c r="AL37" s="34">
        <f t="shared" si="3"/>
        <v>0</v>
      </c>
      <c r="AM37" s="80"/>
      <c r="AN37" s="34">
        <f>IF(COUNTIF(AC37:AC$102,0)&lt;&gt;0,0,IF(AC37-AC36=1,COUNTIF(AO$7:AO37,"&lt;&gt;0"),0))</f>
        <v>0</v>
      </c>
      <c r="AO37" s="34">
        <f t="shared" si="4"/>
        <v>0</v>
      </c>
      <c r="AP37" s="80"/>
      <c r="AR37" s="58"/>
    </row>
    <row r="38" spans="1:44" ht="15">
      <c r="A38" s="22"/>
      <c r="B38" s="22"/>
      <c r="C38" s="22"/>
      <c r="D38" s="22"/>
      <c r="E38" s="35"/>
      <c r="F38" s="35"/>
      <c r="G38" s="36"/>
      <c r="H38" s="36"/>
      <c r="I38" s="36"/>
      <c r="J38" s="36"/>
      <c r="K38" s="38"/>
      <c r="L38" s="57"/>
      <c r="M38" s="46"/>
      <c r="N38" s="140"/>
      <c r="O38" s="36"/>
      <c r="P38" s="36"/>
      <c r="Q38" s="37"/>
      <c r="R38" s="38"/>
      <c r="S38" s="108"/>
      <c r="T38" s="33"/>
      <c r="U38" s="33"/>
      <c r="V38" s="109"/>
      <c r="W38" s="38"/>
      <c r="X38" s="34"/>
      <c r="Y38" s="48"/>
      <c r="Z38" s="34"/>
      <c r="AA38" s="34"/>
      <c r="AB38" s="34"/>
      <c r="AC38" s="48"/>
      <c r="AD38" s="34"/>
      <c r="AE38" s="34"/>
      <c r="AG38" s="107"/>
      <c r="AH38" s="82">
        <f t="shared" si="1"/>
        <v>0</v>
      </c>
      <c r="AI38" s="82">
        <f t="shared" si="2"/>
        <v>0</v>
      </c>
      <c r="AJ38" s="22"/>
      <c r="AK38" s="34">
        <f>IF(COUNTIF(Y38:Y$102,0)&lt;&gt;0,0,IF(Y38-Y37=1,COUNTIF(AL$7:AL38,"&lt;&gt;0"),0))</f>
        <v>0</v>
      </c>
      <c r="AL38" s="34">
        <f t="shared" si="3"/>
        <v>0</v>
      </c>
      <c r="AM38" s="80"/>
      <c r="AN38" s="34">
        <f>IF(COUNTIF(AC38:AC$102,0)&lt;&gt;0,0,IF(AC38-AC37=1,COUNTIF(AO$7:AO38,"&lt;&gt;0"),0))</f>
        <v>0</v>
      </c>
      <c r="AO38" s="34">
        <f t="shared" si="4"/>
        <v>0</v>
      </c>
      <c r="AP38" s="80"/>
      <c r="AR38" s="58"/>
    </row>
    <row r="39" spans="1:44" ht="15">
      <c r="A39" s="22"/>
      <c r="B39" s="22"/>
      <c r="C39" s="22"/>
      <c r="D39" s="22"/>
      <c r="E39" s="35"/>
      <c r="F39" s="35"/>
      <c r="G39" s="36"/>
      <c r="H39" s="36"/>
      <c r="I39" s="36"/>
      <c r="J39" s="36"/>
      <c r="K39" s="38"/>
      <c r="L39" s="57"/>
      <c r="M39" s="46"/>
      <c r="N39" s="140"/>
      <c r="O39" s="36"/>
      <c r="P39" s="36"/>
      <c r="Q39" s="37"/>
      <c r="R39" s="38"/>
      <c r="S39" s="108"/>
      <c r="T39" s="33"/>
      <c r="U39" s="33"/>
      <c r="V39" s="109"/>
      <c r="W39" s="38"/>
      <c r="X39" s="34"/>
      <c r="Y39" s="48"/>
      <c r="Z39" s="34"/>
      <c r="AA39" s="34"/>
      <c r="AB39" s="34"/>
      <c r="AC39" s="48"/>
      <c r="AD39" s="34"/>
      <c r="AE39" s="34"/>
      <c r="AG39" s="107"/>
      <c r="AH39" s="82">
        <f t="shared" si="1"/>
        <v>0</v>
      </c>
      <c r="AI39" s="82">
        <f t="shared" si="2"/>
        <v>0</v>
      </c>
      <c r="AJ39" s="22"/>
      <c r="AK39" s="34">
        <f>IF(COUNTIF(Y39:Y$102,0)&lt;&gt;0,0,IF(Y39-Y38=1,COUNTIF(AL$7:AL39,"&lt;&gt;0"),0))</f>
        <v>0</v>
      </c>
      <c r="AL39" s="34">
        <f t="shared" si="3"/>
        <v>0</v>
      </c>
      <c r="AM39" s="80"/>
      <c r="AN39" s="34">
        <f>IF(COUNTIF(AC39:AC$102,0)&lt;&gt;0,0,IF(AC39-AC38=1,COUNTIF(AO$7:AO39,"&lt;&gt;0"),0))</f>
        <v>0</v>
      </c>
      <c r="AO39" s="34">
        <f t="shared" si="4"/>
        <v>0</v>
      </c>
      <c r="AP39" s="80"/>
      <c r="AR39" s="58"/>
    </row>
    <row r="40" spans="1:44" ht="15">
      <c r="A40" s="22"/>
      <c r="B40" s="22"/>
      <c r="C40" s="22"/>
      <c r="D40" s="22"/>
      <c r="E40" s="35"/>
      <c r="F40" s="35"/>
      <c r="G40" s="36"/>
      <c r="H40" s="36"/>
      <c r="I40" s="36"/>
      <c r="J40" s="36"/>
      <c r="K40" s="38"/>
      <c r="L40" s="57"/>
      <c r="M40" s="46"/>
      <c r="N40" s="140"/>
      <c r="O40" s="36"/>
      <c r="P40" s="36"/>
      <c r="Q40" s="37"/>
      <c r="R40" s="38"/>
      <c r="S40" s="108"/>
      <c r="T40" s="33"/>
      <c r="U40" s="33"/>
      <c r="V40" s="109"/>
      <c r="W40" s="38"/>
      <c r="X40" s="34"/>
      <c r="Y40" s="48"/>
      <c r="Z40" s="34"/>
      <c r="AA40" s="34"/>
      <c r="AB40" s="34"/>
      <c r="AC40" s="48"/>
      <c r="AD40" s="34"/>
      <c r="AE40" s="34"/>
      <c r="AG40" s="107"/>
      <c r="AH40" s="82">
        <f t="shared" si="1"/>
        <v>0</v>
      </c>
      <c r="AI40" s="82">
        <f t="shared" si="2"/>
        <v>0</v>
      </c>
      <c r="AJ40" s="22"/>
      <c r="AK40" s="34">
        <f>IF(COUNTIF(Y40:Y$102,0)&lt;&gt;0,0,IF(Y40-Y39=1,COUNTIF(AL$7:AL40,"&lt;&gt;0"),0))</f>
        <v>0</v>
      </c>
      <c r="AL40" s="34">
        <f t="shared" si="3"/>
        <v>0</v>
      </c>
      <c r="AM40" s="80"/>
      <c r="AN40" s="34">
        <f>IF(COUNTIF(AC40:AC$102,0)&lt;&gt;0,0,IF(AC40-AC39=1,COUNTIF(AO$7:AO40,"&lt;&gt;0"),0))</f>
        <v>0</v>
      </c>
      <c r="AO40" s="34">
        <f t="shared" si="4"/>
        <v>0</v>
      </c>
      <c r="AP40" s="80"/>
      <c r="AR40" s="58"/>
    </row>
    <row r="41" spans="1:44" ht="15">
      <c r="A41" s="22"/>
      <c r="B41" s="22"/>
      <c r="C41" s="22"/>
      <c r="D41" s="22"/>
      <c r="E41" s="35"/>
      <c r="F41" s="35"/>
      <c r="G41" s="36"/>
      <c r="H41" s="36"/>
      <c r="I41" s="36"/>
      <c r="J41" s="36"/>
      <c r="K41" s="38"/>
      <c r="L41" s="57"/>
      <c r="M41" s="46"/>
      <c r="N41" s="140"/>
      <c r="O41" s="36"/>
      <c r="P41" s="36"/>
      <c r="Q41" s="37"/>
      <c r="R41" s="38"/>
      <c r="S41" s="108"/>
      <c r="T41" s="33"/>
      <c r="U41" s="33"/>
      <c r="V41" s="109"/>
      <c r="W41" s="38"/>
      <c r="X41" s="34"/>
      <c r="Y41" s="48"/>
      <c r="Z41" s="34"/>
      <c r="AA41" s="34"/>
      <c r="AB41" s="34"/>
      <c r="AC41" s="48"/>
      <c r="AD41" s="34"/>
      <c r="AE41" s="34"/>
      <c r="AG41" s="107"/>
      <c r="AH41" s="82">
        <f t="shared" si="1"/>
        <v>0</v>
      </c>
      <c r="AI41" s="82">
        <f t="shared" si="2"/>
        <v>0</v>
      </c>
      <c r="AJ41" s="22"/>
      <c r="AK41" s="34">
        <f>IF(COUNTIF(Y41:Y$102,0)&lt;&gt;0,0,IF(Y41-Y40=1,COUNTIF(AL$7:AL41,"&lt;&gt;0"),0))</f>
        <v>0</v>
      </c>
      <c r="AL41" s="34">
        <f t="shared" si="3"/>
        <v>0</v>
      </c>
      <c r="AM41" s="80"/>
      <c r="AN41" s="34">
        <f>IF(COUNTIF(AC41:AC$102,0)&lt;&gt;0,0,IF(AC41-AC40=1,COUNTIF(AO$7:AO41,"&lt;&gt;0"),0))</f>
        <v>0</v>
      </c>
      <c r="AO41" s="34">
        <f t="shared" si="4"/>
        <v>0</v>
      </c>
      <c r="AP41" s="80"/>
      <c r="AR41" s="58"/>
    </row>
    <row r="42" spans="1:44" ht="15">
      <c r="A42" s="22"/>
      <c r="B42" s="22"/>
      <c r="C42" s="22"/>
      <c r="D42" s="22"/>
      <c r="E42" s="35"/>
      <c r="F42" s="35"/>
      <c r="G42" s="36"/>
      <c r="H42" s="36"/>
      <c r="I42" s="36"/>
      <c r="J42" s="36"/>
      <c r="K42" s="38"/>
      <c r="L42" s="57"/>
      <c r="M42" s="46"/>
      <c r="N42" s="140"/>
      <c r="O42" s="36"/>
      <c r="P42" s="36"/>
      <c r="Q42" s="37"/>
      <c r="R42" s="38"/>
      <c r="S42" s="108"/>
      <c r="T42" s="33"/>
      <c r="U42" s="33"/>
      <c r="V42" s="109"/>
      <c r="W42" s="38"/>
      <c r="X42" s="34"/>
      <c r="Y42" s="48"/>
      <c r="Z42" s="34"/>
      <c r="AA42" s="34"/>
      <c r="AB42" s="34"/>
      <c r="AC42" s="48"/>
      <c r="AD42" s="34"/>
      <c r="AE42" s="34"/>
      <c r="AG42" s="107"/>
      <c r="AH42" s="82">
        <f t="shared" si="1"/>
        <v>0</v>
      </c>
      <c r="AI42" s="82">
        <f t="shared" si="2"/>
        <v>0</v>
      </c>
      <c r="AJ42" s="22"/>
      <c r="AK42" s="34">
        <f>IF(COUNTIF(Y42:Y$102,0)&lt;&gt;0,0,IF(Y42-Y41=1,COUNTIF(AL$7:AL42,"&lt;&gt;0"),0))</f>
        <v>0</v>
      </c>
      <c r="AL42" s="34">
        <f t="shared" si="3"/>
        <v>0</v>
      </c>
      <c r="AM42" s="80"/>
      <c r="AN42" s="34">
        <f>IF(COUNTIF(AC42:AC$102,0)&lt;&gt;0,0,IF(AC42-AC41=1,COUNTIF(AO$7:AO42,"&lt;&gt;0"),0))</f>
        <v>0</v>
      </c>
      <c r="AO42" s="34">
        <f t="shared" si="4"/>
        <v>0</v>
      </c>
      <c r="AP42" s="80"/>
      <c r="AR42" s="58"/>
    </row>
    <row r="43" spans="1:44" ht="15">
      <c r="A43" s="22"/>
      <c r="B43" s="22"/>
      <c r="C43" s="22"/>
      <c r="D43" s="22"/>
      <c r="E43" s="35"/>
      <c r="F43" s="35"/>
      <c r="G43" s="36"/>
      <c r="H43" s="36"/>
      <c r="I43" s="36"/>
      <c r="J43" s="36"/>
      <c r="K43" s="38"/>
      <c r="L43" s="57"/>
      <c r="M43" s="46"/>
      <c r="N43" s="140"/>
      <c r="O43" s="36"/>
      <c r="P43" s="36"/>
      <c r="Q43" s="37"/>
      <c r="R43" s="38"/>
      <c r="S43" s="108"/>
      <c r="T43" s="33"/>
      <c r="U43" s="33"/>
      <c r="V43" s="109"/>
      <c r="W43" s="38"/>
      <c r="X43" s="34"/>
      <c r="Y43" s="48"/>
      <c r="Z43" s="34"/>
      <c r="AA43" s="34"/>
      <c r="AB43" s="34"/>
      <c r="AC43" s="48"/>
      <c r="AD43" s="34"/>
      <c r="AE43" s="34"/>
      <c r="AG43" s="107"/>
      <c r="AH43" s="82">
        <f t="shared" si="1"/>
        <v>0</v>
      </c>
      <c r="AI43" s="82">
        <f t="shared" si="2"/>
        <v>0</v>
      </c>
      <c r="AJ43" s="22"/>
      <c r="AK43" s="34">
        <f>IF(COUNTIF(Y43:Y$102,0)&lt;&gt;0,0,IF(Y43-Y42=1,COUNTIF(AL$7:AL43,"&lt;&gt;0"),0))</f>
        <v>0</v>
      </c>
      <c r="AL43" s="34">
        <f t="shared" si="3"/>
        <v>0</v>
      </c>
      <c r="AM43" s="80"/>
      <c r="AN43" s="34">
        <f>IF(COUNTIF(AC43:AC$102,0)&lt;&gt;0,0,IF(AC43-AC42=1,COUNTIF(AO$7:AO43,"&lt;&gt;0"),0))</f>
        <v>0</v>
      </c>
      <c r="AO43" s="34">
        <f t="shared" si="4"/>
        <v>0</v>
      </c>
      <c r="AP43" s="80"/>
      <c r="AR43" s="58"/>
    </row>
    <row r="44" spans="1:44" ht="15">
      <c r="A44" s="22"/>
      <c r="B44" s="22"/>
      <c r="C44" s="22"/>
      <c r="D44" s="22"/>
      <c r="E44" s="35"/>
      <c r="F44" s="35"/>
      <c r="G44" s="36"/>
      <c r="H44" s="36"/>
      <c r="I44" s="36"/>
      <c r="J44" s="36"/>
      <c r="K44" s="38"/>
      <c r="L44" s="57"/>
      <c r="M44" s="46"/>
      <c r="N44" s="140"/>
      <c r="O44" s="36"/>
      <c r="P44" s="36"/>
      <c r="Q44" s="37"/>
      <c r="R44" s="38"/>
      <c r="S44" s="108"/>
      <c r="T44" s="33"/>
      <c r="U44" s="33"/>
      <c r="V44" s="109"/>
      <c r="W44" s="38"/>
      <c r="X44" s="34"/>
      <c r="Y44" s="48"/>
      <c r="Z44" s="34"/>
      <c r="AA44" s="34"/>
      <c r="AB44" s="34"/>
      <c r="AC44" s="48"/>
      <c r="AD44" s="34"/>
      <c r="AE44" s="34"/>
      <c r="AG44" s="107"/>
      <c r="AH44" s="82">
        <f t="shared" si="1"/>
        <v>0</v>
      </c>
      <c r="AI44" s="82">
        <f t="shared" si="2"/>
        <v>0</v>
      </c>
      <c r="AJ44" s="22"/>
      <c r="AK44" s="34">
        <f>IF(COUNTIF(Y44:Y$102,0)&lt;&gt;0,0,IF(Y44-Y43=1,COUNTIF(AL$7:AL44,"&lt;&gt;0"),0))</f>
        <v>0</v>
      </c>
      <c r="AL44" s="34">
        <f t="shared" si="3"/>
        <v>0</v>
      </c>
      <c r="AM44" s="80"/>
      <c r="AN44" s="34">
        <f>IF(COUNTIF(AC44:AC$102,0)&lt;&gt;0,0,IF(AC44-AC43=1,COUNTIF(AO$7:AO44,"&lt;&gt;0"),0))</f>
        <v>0</v>
      </c>
      <c r="AO44" s="34">
        <f t="shared" si="4"/>
        <v>0</v>
      </c>
      <c r="AP44" s="80"/>
      <c r="AR44" s="58"/>
    </row>
    <row r="45" spans="1:44" ht="15">
      <c r="A45" s="22"/>
      <c r="B45" s="22"/>
      <c r="C45" s="22"/>
      <c r="D45" s="22"/>
      <c r="E45" s="35"/>
      <c r="F45" s="35"/>
      <c r="G45" s="36"/>
      <c r="H45" s="36"/>
      <c r="I45" s="36"/>
      <c r="J45" s="36"/>
      <c r="K45" s="38"/>
      <c r="L45" s="57"/>
      <c r="M45" s="46"/>
      <c r="N45" s="140"/>
      <c r="O45" s="36"/>
      <c r="P45" s="36"/>
      <c r="Q45" s="37"/>
      <c r="R45" s="38"/>
      <c r="S45" s="108"/>
      <c r="T45" s="33"/>
      <c r="U45" s="33"/>
      <c r="V45" s="109"/>
      <c r="W45" s="38"/>
      <c r="X45" s="34"/>
      <c r="Y45" s="48"/>
      <c r="Z45" s="34"/>
      <c r="AA45" s="34"/>
      <c r="AB45" s="34"/>
      <c r="AC45" s="48"/>
      <c r="AD45" s="34"/>
      <c r="AE45" s="34"/>
      <c r="AG45" s="107"/>
      <c r="AH45" s="82">
        <f t="shared" si="1"/>
        <v>0</v>
      </c>
      <c r="AI45" s="82">
        <f t="shared" si="2"/>
        <v>0</v>
      </c>
      <c r="AJ45" s="22"/>
      <c r="AK45" s="34">
        <f>IF(COUNTIF(Y45:Y$102,0)&lt;&gt;0,0,IF(Y45-Y44=1,COUNTIF(AL$7:AL45,"&lt;&gt;0"),0))</f>
        <v>0</v>
      </c>
      <c r="AL45" s="34">
        <f t="shared" si="3"/>
        <v>0</v>
      </c>
      <c r="AM45" s="80"/>
      <c r="AN45" s="34">
        <f>IF(COUNTIF(AC45:AC$102,0)&lt;&gt;0,0,IF(AC45-AC44=1,COUNTIF(AO$7:AO45,"&lt;&gt;0"),0))</f>
        <v>0</v>
      </c>
      <c r="AO45" s="34">
        <f t="shared" si="4"/>
        <v>0</v>
      </c>
      <c r="AP45" s="80"/>
      <c r="AR45" s="58"/>
    </row>
    <row r="46" spans="1:44" ht="15">
      <c r="A46" s="22"/>
      <c r="B46" s="22"/>
      <c r="C46" s="22"/>
      <c r="D46" s="22"/>
      <c r="E46" s="35"/>
      <c r="F46" s="35"/>
      <c r="G46" s="36"/>
      <c r="H46" s="36"/>
      <c r="I46" s="36"/>
      <c r="J46" s="36"/>
      <c r="K46" s="38"/>
      <c r="L46" s="57"/>
      <c r="M46" s="46"/>
      <c r="N46" s="140"/>
      <c r="O46" s="36"/>
      <c r="P46" s="36"/>
      <c r="Q46" s="37"/>
      <c r="R46" s="38"/>
      <c r="S46" s="108"/>
      <c r="T46" s="33"/>
      <c r="U46" s="33"/>
      <c r="V46" s="109"/>
      <c r="W46" s="38"/>
      <c r="X46" s="34"/>
      <c r="Y46" s="48"/>
      <c r="Z46" s="34"/>
      <c r="AA46" s="34"/>
      <c r="AB46" s="34"/>
      <c r="AC46" s="48"/>
      <c r="AD46" s="34"/>
      <c r="AE46" s="34"/>
      <c r="AG46" s="107"/>
      <c r="AH46" s="82">
        <f t="shared" si="1"/>
        <v>0</v>
      </c>
      <c r="AI46" s="82">
        <f t="shared" si="2"/>
        <v>0</v>
      </c>
      <c r="AJ46" s="22"/>
      <c r="AK46" s="34">
        <f>IF(COUNTIF(Y46:Y$102,0)&lt;&gt;0,0,IF(Y46-Y45=1,COUNTIF(AL$7:AL46,"&lt;&gt;0"),0))</f>
        <v>0</v>
      </c>
      <c r="AL46" s="34">
        <f t="shared" si="3"/>
        <v>0</v>
      </c>
      <c r="AM46" s="80"/>
      <c r="AN46" s="34">
        <f>IF(COUNTIF(AC46:AC$102,0)&lt;&gt;0,0,IF(AC46-AC45=1,COUNTIF(AO$7:AO46,"&lt;&gt;0"),0))</f>
        <v>0</v>
      </c>
      <c r="AO46" s="34">
        <f t="shared" si="4"/>
        <v>0</v>
      </c>
      <c r="AP46" s="80"/>
      <c r="AR46" s="58"/>
    </row>
    <row r="47" spans="1:44" ht="15">
      <c r="A47" s="22"/>
      <c r="B47" s="22"/>
      <c r="C47" s="22"/>
      <c r="D47" s="22"/>
      <c r="E47" s="35"/>
      <c r="F47" s="35"/>
      <c r="G47" s="36"/>
      <c r="H47" s="36"/>
      <c r="I47" s="36"/>
      <c r="J47" s="36"/>
      <c r="K47" s="38"/>
      <c r="L47" s="57"/>
      <c r="M47" s="46"/>
      <c r="N47" s="140"/>
      <c r="O47" s="36"/>
      <c r="P47" s="36"/>
      <c r="Q47" s="37"/>
      <c r="R47" s="38"/>
      <c r="S47" s="108"/>
      <c r="T47" s="33"/>
      <c r="U47" s="33"/>
      <c r="V47" s="109"/>
      <c r="W47" s="38"/>
      <c r="X47" s="34"/>
      <c r="Y47" s="48"/>
      <c r="Z47" s="34"/>
      <c r="AA47" s="34"/>
      <c r="AB47" s="34"/>
      <c r="AC47" s="48"/>
      <c r="AD47" s="34"/>
      <c r="AE47" s="34"/>
      <c r="AG47" s="107"/>
      <c r="AH47" s="82">
        <f t="shared" si="1"/>
        <v>0</v>
      </c>
      <c r="AI47" s="82">
        <f t="shared" si="2"/>
        <v>0</v>
      </c>
      <c r="AJ47" s="22"/>
      <c r="AK47" s="34">
        <f>IF(COUNTIF(Y47:Y$102,0)&lt;&gt;0,0,IF(Y47-Y46=1,COUNTIF(AL$7:AL47,"&lt;&gt;0"),0))</f>
        <v>0</v>
      </c>
      <c r="AL47" s="34">
        <f t="shared" si="3"/>
        <v>0</v>
      </c>
      <c r="AM47" s="80"/>
      <c r="AN47" s="34">
        <f>IF(COUNTIF(AC47:AC$102,0)&lt;&gt;0,0,IF(AC47-AC46=1,COUNTIF(AO$7:AO47,"&lt;&gt;0"),0))</f>
        <v>0</v>
      </c>
      <c r="AO47" s="34">
        <f t="shared" si="4"/>
        <v>0</v>
      </c>
      <c r="AP47" s="80"/>
      <c r="AR47" s="58"/>
    </row>
    <row r="48" spans="1:44" ht="15">
      <c r="A48" s="22"/>
      <c r="B48" s="22"/>
      <c r="C48" s="22"/>
      <c r="D48" s="22"/>
      <c r="E48" s="35"/>
      <c r="F48" s="35"/>
      <c r="G48" s="36"/>
      <c r="H48" s="36"/>
      <c r="I48" s="36"/>
      <c r="J48" s="36"/>
      <c r="K48" s="22"/>
      <c r="L48" s="22"/>
      <c r="M48" s="46"/>
      <c r="N48" s="140"/>
      <c r="O48" s="36"/>
      <c r="P48" s="36"/>
      <c r="Q48" s="37"/>
      <c r="R48" s="38"/>
      <c r="S48" s="108"/>
      <c r="T48" s="33"/>
      <c r="U48" s="33"/>
      <c r="V48" s="109"/>
      <c r="W48" s="38"/>
      <c r="X48" s="34"/>
      <c r="Y48" s="48"/>
      <c r="Z48" s="34"/>
      <c r="AA48" s="34"/>
      <c r="AB48" s="34"/>
      <c r="AC48" s="48"/>
      <c r="AD48" s="34"/>
      <c r="AE48" s="34"/>
      <c r="AG48" s="107"/>
      <c r="AH48" s="82">
        <f t="shared" si="1"/>
        <v>0</v>
      </c>
      <c r="AI48" s="82">
        <f t="shared" si="2"/>
        <v>0</v>
      </c>
      <c r="AJ48" s="22"/>
      <c r="AK48" s="34">
        <f>IF(COUNTIF(Y48:Y$102,0)&lt;&gt;0,0,IF(Y48-Y47=1,COUNTIF(AL$7:AL48,"&lt;&gt;0"),0))</f>
        <v>0</v>
      </c>
      <c r="AL48" s="34">
        <f t="shared" si="3"/>
        <v>0</v>
      </c>
      <c r="AM48" s="80"/>
      <c r="AN48" s="34">
        <f>IF(COUNTIF(AC48:AC$102,0)&lt;&gt;0,0,IF(AC48-AC47=1,COUNTIF(AO$7:AO48,"&lt;&gt;0"),0))</f>
        <v>0</v>
      </c>
      <c r="AO48" s="34">
        <f t="shared" si="4"/>
        <v>0</v>
      </c>
      <c r="AP48" s="80"/>
      <c r="AR48" s="58"/>
    </row>
    <row r="49" spans="1:44" ht="15">
      <c r="A49" s="22"/>
      <c r="B49" s="22"/>
      <c r="C49" s="22"/>
      <c r="D49" s="22"/>
      <c r="E49" s="35"/>
      <c r="F49" s="35"/>
      <c r="G49" s="36"/>
      <c r="H49" s="36"/>
      <c r="I49" s="36"/>
      <c r="J49" s="36"/>
      <c r="K49" s="22"/>
      <c r="L49" s="22"/>
      <c r="M49" s="46"/>
      <c r="N49" s="140"/>
      <c r="O49" s="36"/>
      <c r="P49" s="36"/>
      <c r="Q49" s="37"/>
      <c r="R49" s="38"/>
      <c r="S49" s="108"/>
      <c r="T49" s="33"/>
      <c r="U49" s="33"/>
      <c r="V49" s="109"/>
      <c r="W49" s="38"/>
      <c r="X49" s="34"/>
      <c r="Y49" s="48"/>
      <c r="Z49" s="34"/>
      <c r="AA49" s="34"/>
      <c r="AB49" s="34"/>
      <c r="AC49" s="48"/>
      <c r="AD49" s="34"/>
      <c r="AE49" s="34"/>
      <c r="AG49" s="107"/>
      <c r="AH49" s="82">
        <f t="shared" si="1"/>
        <v>0</v>
      </c>
      <c r="AI49" s="82">
        <f t="shared" si="2"/>
        <v>0</v>
      </c>
      <c r="AJ49" s="22"/>
      <c r="AK49" s="34">
        <f>IF(COUNTIF(Y49:Y$102,0)&lt;&gt;0,0,IF(Y49-Y48=1,COUNTIF(AL$7:AL49,"&lt;&gt;0"),0))</f>
        <v>0</v>
      </c>
      <c r="AL49" s="34">
        <f t="shared" si="3"/>
        <v>0</v>
      </c>
      <c r="AM49" s="80"/>
      <c r="AN49" s="34">
        <f>IF(COUNTIF(AC49:AC$102,0)&lt;&gt;0,0,IF(AC49-AC48=1,COUNTIF(AO$7:AO49,"&lt;&gt;0"),0))</f>
        <v>0</v>
      </c>
      <c r="AO49" s="34">
        <f t="shared" si="4"/>
        <v>0</v>
      </c>
      <c r="AP49" s="80"/>
      <c r="AR49" s="58"/>
    </row>
    <row r="50" spans="1:44" ht="15">
      <c r="A50" s="22"/>
      <c r="B50" s="22"/>
      <c r="C50" s="22"/>
      <c r="D50" s="22"/>
      <c r="E50" s="35"/>
      <c r="F50" s="35"/>
      <c r="G50" s="36"/>
      <c r="H50" s="36"/>
      <c r="I50" s="36"/>
      <c r="J50" s="36"/>
      <c r="K50" s="22"/>
      <c r="L50" s="22"/>
      <c r="M50" s="46"/>
      <c r="N50" s="140"/>
      <c r="O50" s="36"/>
      <c r="P50" s="36"/>
      <c r="Q50" s="37"/>
      <c r="R50" s="38"/>
      <c r="S50" s="108"/>
      <c r="T50" s="33"/>
      <c r="U50" s="33"/>
      <c r="V50" s="109"/>
      <c r="W50" s="38"/>
      <c r="X50" s="34"/>
      <c r="Y50" s="48"/>
      <c r="Z50" s="34"/>
      <c r="AA50" s="34"/>
      <c r="AB50" s="34"/>
      <c r="AC50" s="48"/>
      <c r="AD50" s="34"/>
      <c r="AE50" s="34"/>
      <c r="AG50" s="107"/>
      <c r="AH50" s="82">
        <f t="shared" si="1"/>
        <v>0</v>
      </c>
      <c r="AI50" s="82">
        <f t="shared" si="2"/>
        <v>0</v>
      </c>
      <c r="AJ50" s="22"/>
      <c r="AK50" s="34">
        <f>IF(COUNTIF(Y50:Y$102,0)&lt;&gt;0,0,IF(Y50-Y49=1,COUNTIF(AL$7:AL50,"&lt;&gt;0"),0))</f>
        <v>0</v>
      </c>
      <c r="AL50" s="34">
        <f t="shared" si="3"/>
        <v>0</v>
      </c>
      <c r="AM50" s="80"/>
      <c r="AN50" s="34">
        <f>IF(COUNTIF(AC50:AC$102,0)&lt;&gt;0,0,IF(AC50-AC49=1,COUNTIF(AO$7:AO50,"&lt;&gt;0"),0))</f>
        <v>0</v>
      </c>
      <c r="AO50" s="34">
        <f t="shared" si="4"/>
        <v>0</v>
      </c>
      <c r="AP50" s="80"/>
      <c r="AR50" s="58"/>
    </row>
    <row r="51" spans="1:44" ht="15">
      <c r="A51" s="22"/>
      <c r="B51" s="22"/>
      <c r="C51" s="22"/>
      <c r="D51" s="22"/>
      <c r="E51" s="35"/>
      <c r="F51" s="35"/>
      <c r="G51" s="36"/>
      <c r="H51" s="36"/>
      <c r="I51" s="36"/>
      <c r="J51" s="36"/>
      <c r="K51" s="22"/>
      <c r="L51" s="22"/>
      <c r="M51" s="46"/>
      <c r="N51" s="140"/>
      <c r="O51" s="36"/>
      <c r="P51" s="36"/>
      <c r="Q51" s="37"/>
      <c r="R51" s="38"/>
      <c r="S51" s="108"/>
      <c r="T51" s="33"/>
      <c r="U51" s="33"/>
      <c r="V51" s="109"/>
      <c r="W51" s="38"/>
      <c r="X51" s="34"/>
      <c r="Y51" s="48"/>
      <c r="Z51" s="34"/>
      <c r="AA51" s="34"/>
      <c r="AB51" s="34"/>
      <c r="AC51" s="48"/>
      <c r="AD51" s="34"/>
      <c r="AE51" s="34"/>
      <c r="AG51" s="107"/>
      <c r="AH51" s="82">
        <f t="shared" si="1"/>
        <v>0</v>
      </c>
      <c r="AI51" s="82">
        <f t="shared" si="2"/>
        <v>0</v>
      </c>
      <c r="AJ51" s="22"/>
      <c r="AK51" s="34">
        <f>IF(COUNTIF(Y51:Y$102,0)&lt;&gt;0,0,IF(Y51-Y50=1,COUNTIF(AL$7:AL51,"&lt;&gt;0"),0))</f>
        <v>0</v>
      </c>
      <c r="AL51" s="34">
        <f t="shared" si="3"/>
        <v>0</v>
      </c>
      <c r="AM51" s="80"/>
      <c r="AN51" s="34">
        <f>IF(COUNTIF(AC51:AC$102,0)&lt;&gt;0,0,IF(AC51-AC50=1,COUNTIF(AO$7:AO51,"&lt;&gt;0"),0))</f>
        <v>0</v>
      </c>
      <c r="AO51" s="34">
        <f t="shared" si="4"/>
        <v>0</v>
      </c>
      <c r="AP51" s="80"/>
      <c r="AR51" s="58"/>
    </row>
    <row r="52" spans="1:44" ht="15">
      <c r="A52" s="22"/>
      <c r="B52" s="22"/>
      <c r="C52" s="22"/>
      <c r="D52" s="22"/>
      <c r="E52" s="35"/>
      <c r="F52" s="35"/>
      <c r="G52" s="36"/>
      <c r="H52" s="36"/>
      <c r="I52" s="36"/>
      <c r="J52" s="36"/>
      <c r="K52" s="22"/>
      <c r="L52" s="22"/>
      <c r="M52" s="46"/>
      <c r="N52" s="140"/>
      <c r="O52" s="36"/>
      <c r="P52" s="36"/>
      <c r="Q52" s="37"/>
      <c r="R52" s="38"/>
      <c r="S52" s="108"/>
      <c r="T52" s="33"/>
      <c r="U52" s="33"/>
      <c r="V52" s="109"/>
      <c r="W52" s="38"/>
      <c r="X52" s="34"/>
      <c r="Y52" s="48"/>
      <c r="Z52" s="34"/>
      <c r="AA52" s="34"/>
      <c r="AB52" s="34"/>
      <c r="AC52" s="48"/>
      <c r="AD52" s="34"/>
      <c r="AE52" s="34"/>
      <c r="AG52" s="107"/>
      <c r="AH52" s="82">
        <f t="shared" si="1"/>
        <v>0</v>
      </c>
      <c r="AI52" s="82">
        <f t="shared" si="2"/>
        <v>0</v>
      </c>
      <c r="AJ52" s="22"/>
      <c r="AK52" s="34">
        <f>IF(COUNTIF(Y52:Y$102,0)&lt;&gt;0,0,IF(Y52-Y51=1,COUNTIF(AL$7:AL52,"&lt;&gt;0"),0))</f>
        <v>0</v>
      </c>
      <c r="AL52" s="34">
        <f t="shared" si="3"/>
        <v>0</v>
      </c>
      <c r="AM52" s="80"/>
      <c r="AN52" s="34">
        <f>IF(COUNTIF(AC52:AC$102,0)&lt;&gt;0,0,IF(AC52-AC51=1,COUNTIF(AO$7:AO52,"&lt;&gt;0"),0))</f>
        <v>0</v>
      </c>
      <c r="AO52" s="34">
        <f t="shared" si="4"/>
        <v>0</v>
      </c>
      <c r="AP52" s="80"/>
      <c r="AR52" s="58"/>
    </row>
    <row r="53" spans="1:44" ht="15">
      <c r="A53" s="22"/>
      <c r="B53" s="22"/>
      <c r="C53" s="22"/>
      <c r="D53" s="22"/>
      <c r="E53" s="35"/>
      <c r="F53" s="35"/>
      <c r="G53" s="36"/>
      <c r="H53" s="36"/>
      <c r="I53" s="36"/>
      <c r="J53" s="36"/>
      <c r="K53" s="22"/>
      <c r="L53" s="22"/>
      <c r="M53" s="46"/>
      <c r="N53" s="140"/>
      <c r="O53" s="36"/>
      <c r="P53" s="36"/>
      <c r="Q53" s="37"/>
      <c r="R53" s="38"/>
      <c r="S53" s="108"/>
      <c r="T53" s="33"/>
      <c r="U53" s="33"/>
      <c r="V53" s="109"/>
      <c r="W53" s="38"/>
      <c r="X53" s="34"/>
      <c r="Y53" s="48"/>
      <c r="Z53" s="34"/>
      <c r="AA53" s="34"/>
      <c r="AB53" s="34"/>
      <c r="AC53" s="48"/>
      <c r="AD53" s="34"/>
      <c r="AE53" s="34"/>
      <c r="AG53" s="107"/>
      <c r="AH53" s="82">
        <f t="shared" si="1"/>
        <v>0</v>
      </c>
      <c r="AI53" s="82">
        <f t="shared" si="2"/>
        <v>0</v>
      </c>
      <c r="AJ53" s="22"/>
      <c r="AK53" s="34">
        <f>IF(COUNTIF(Y53:Y$102,0)&lt;&gt;0,0,IF(Y53-Y52=1,COUNTIF(AL$7:AL53,"&lt;&gt;0"),0))</f>
        <v>0</v>
      </c>
      <c r="AL53" s="34">
        <f t="shared" si="3"/>
        <v>0</v>
      </c>
      <c r="AM53" s="80"/>
      <c r="AN53" s="34">
        <f>IF(COUNTIF(AC53:AC$102,0)&lt;&gt;0,0,IF(AC53-AC52=1,COUNTIF(AO$7:AO53,"&lt;&gt;0"),0))</f>
        <v>0</v>
      </c>
      <c r="AO53" s="34">
        <f t="shared" si="4"/>
        <v>0</v>
      </c>
      <c r="AP53" s="80"/>
      <c r="AR53" s="58"/>
    </row>
    <row r="54" spans="1:44" ht="15">
      <c r="A54" s="22"/>
      <c r="B54" s="22"/>
      <c r="C54" s="22"/>
      <c r="D54" s="22"/>
      <c r="E54" s="35"/>
      <c r="F54" s="35"/>
      <c r="G54" s="36"/>
      <c r="H54" s="36"/>
      <c r="I54" s="36"/>
      <c r="J54" s="36"/>
      <c r="K54" s="22"/>
      <c r="L54" s="22"/>
      <c r="M54" s="46"/>
      <c r="N54" s="140"/>
      <c r="O54" s="36"/>
      <c r="P54" s="36"/>
      <c r="Q54" s="37"/>
      <c r="R54" s="38"/>
      <c r="S54" s="108"/>
      <c r="T54" s="33"/>
      <c r="U54" s="33"/>
      <c r="V54" s="109"/>
      <c r="W54" s="38"/>
      <c r="X54" s="34"/>
      <c r="Y54" s="48"/>
      <c r="Z54" s="34"/>
      <c r="AA54" s="34"/>
      <c r="AB54" s="34"/>
      <c r="AC54" s="48"/>
      <c r="AD54" s="34"/>
      <c r="AE54" s="34"/>
      <c r="AG54" s="107"/>
      <c r="AH54" s="82">
        <f t="shared" si="1"/>
        <v>0</v>
      </c>
      <c r="AI54" s="82">
        <f t="shared" si="2"/>
        <v>0</v>
      </c>
      <c r="AJ54" s="22"/>
      <c r="AK54" s="34">
        <f>IF(COUNTIF(Y54:Y$102,0)&lt;&gt;0,0,IF(Y54-Y53=1,COUNTIF(AL$7:AL54,"&lt;&gt;0"),0))</f>
        <v>0</v>
      </c>
      <c r="AL54" s="34">
        <f t="shared" si="3"/>
        <v>0</v>
      </c>
      <c r="AM54" s="80"/>
      <c r="AN54" s="34">
        <f>IF(COUNTIF(AC54:AC$102,0)&lt;&gt;0,0,IF(AC54-AC53=1,COUNTIF(AO$7:AO54,"&lt;&gt;0"),0))</f>
        <v>0</v>
      </c>
      <c r="AO54" s="34">
        <f t="shared" si="4"/>
        <v>0</v>
      </c>
      <c r="AP54" s="80"/>
      <c r="AR54" s="58"/>
    </row>
    <row r="55" spans="1:44" ht="15">
      <c r="A55" s="22"/>
      <c r="B55" s="22"/>
      <c r="C55" s="22"/>
      <c r="D55" s="22"/>
      <c r="E55" s="35"/>
      <c r="F55" s="35"/>
      <c r="G55" s="36"/>
      <c r="H55" s="36"/>
      <c r="I55" s="36"/>
      <c r="J55" s="36"/>
      <c r="K55" s="22"/>
      <c r="L55" s="22"/>
      <c r="M55" s="46"/>
      <c r="N55" s="140"/>
      <c r="O55" s="36"/>
      <c r="P55" s="36"/>
      <c r="Q55" s="37"/>
      <c r="R55" s="38"/>
      <c r="S55" s="108"/>
      <c r="T55" s="33"/>
      <c r="U55" s="33"/>
      <c r="V55" s="109"/>
      <c r="W55" s="38"/>
      <c r="X55" s="34"/>
      <c r="Y55" s="48"/>
      <c r="Z55" s="34"/>
      <c r="AA55" s="34"/>
      <c r="AB55" s="34"/>
      <c r="AC55" s="48"/>
      <c r="AD55" s="34"/>
      <c r="AE55" s="34"/>
      <c r="AG55" s="107"/>
      <c r="AH55" s="82">
        <f t="shared" si="1"/>
        <v>0</v>
      </c>
      <c r="AI55" s="82">
        <f t="shared" si="2"/>
        <v>0</v>
      </c>
      <c r="AJ55" s="22"/>
      <c r="AK55" s="34">
        <f>IF(COUNTIF(Y55:Y$102,0)&lt;&gt;0,0,IF(Y55-Y54=1,COUNTIF(AL$7:AL55,"&lt;&gt;0"),0))</f>
        <v>0</v>
      </c>
      <c r="AL55" s="34">
        <f t="shared" si="3"/>
        <v>0</v>
      </c>
      <c r="AM55" s="80"/>
      <c r="AN55" s="34">
        <f>IF(COUNTIF(AC55:AC$102,0)&lt;&gt;0,0,IF(AC55-AC54=1,COUNTIF(AO$7:AO55,"&lt;&gt;0"),0))</f>
        <v>0</v>
      </c>
      <c r="AO55" s="34">
        <f t="shared" si="4"/>
        <v>0</v>
      </c>
      <c r="AP55" s="80"/>
      <c r="AR55" s="58"/>
    </row>
    <row r="56" spans="1:44" ht="15">
      <c r="A56" s="22"/>
      <c r="B56" s="22"/>
      <c r="C56" s="22"/>
      <c r="D56" s="22"/>
      <c r="E56" s="35"/>
      <c r="F56" s="35"/>
      <c r="G56" s="36"/>
      <c r="H56" s="36"/>
      <c r="I56" s="36"/>
      <c r="J56" s="36"/>
      <c r="K56" s="22"/>
      <c r="L56" s="22"/>
      <c r="M56" s="46"/>
      <c r="N56" s="140"/>
      <c r="O56" s="36"/>
      <c r="P56" s="36"/>
      <c r="Q56" s="37"/>
      <c r="R56" s="38"/>
      <c r="S56" s="108"/>
      <c r="T56" s="33"/>
      <c r="U56" s="33"/>
      <c r="V56" s="109"/>
      <c r="W56" s="38"/>
      <c r="X56" s="34"/>
      <c r="Y56" s="48"/>
      <c r="Z56" s="34"/>
      <c r="AA56" s="34"/>
      <c r="AB56" s="34"/>
      <c r="AC56" s="48"/>
      <c r="AD56" s="34"/>
      <c r="AE56" s="34"/>
      <c r="AG56" s="107"/>
      <c r="AH56" s="82">
        <f t="shared" si="1"/>
        <v>0</v>
      </c>
      <c r="AI56" s="82">
        <f t="shared" si="2"/>
        <v>0</v>
      </c>
      <c r="AJ56" s="22"/>
      <c r="AK56" s="34">
        <f>IF(COUNTIF(Y56:Y$102,0)&lt;&gt;0,0,IF(Y56-Y55=1,COUNTIF(AL$7:AL56,"&lt;&gt;0"),0))</f>
        <v>0</v>
      </c>
      <c r="AL56" s="34">
        <f t="shared" si="3"/>
        <v>0</v>
      </c>
      <c r="AM56" s="80"/>
      <c r="AN56" s="34">
        <f>IF(COUNTIF(AC56:AC$102,0)&lt;&gt;0,0,IF(AC56-AC55=1,COUNTIF(AO$7:AO56,"&lt;&gt;0"),0))</f>
        <v>0</v>
      </c>
      <c r="AO56" s="34">
        <f t="shared" si="4"/>
        <v>0</v>
      </c>
      <c r="AP56" s="80"/>
      <c r="AR56" s="58"/>
    </row>
    <row r="57" spans="1:44" ht="15">
      <c r="A57" s="22"/>
      <c r="B57" s="22"/>
      <c r="C57" s="22"/>
      <c r="D57" s="22"/>
      <c r="E57" s="35"/>
      <c r="F57" s="35"/>
      <c r="G57" s="36"/>
      <c r="H57" s="36"/>
      <c r="I57" s="36"/>
      <c r="J57" s="36"/>
      <c r="K57" s="22"/>
      <c r="L57" s="22"/>
      <c r="M57" s="46"/>
      <c r="N57" s="140"/>
      <c r="O57" s="36"/>
      <c r="P57" s="36"/>
      <c r="Q57" s="37"/>
      <c r="R57" s="38"/>
      <c r="S57" s="108"/>
      <c r="T57" s="33"/>
      <c r="U57" s="33"/>
      <c r="V57" s="109"/>
      <c r="W57" s="38"/>
      <c r="X57" s="34"/>
      <c r="Y57" s="48"/>
      <c r="Z57" s="34"/>
      <c r="AA57" s="34"/>
      <c r="AB57" s="34"/>
      <c r="AC57" s="48"/>
      <c r="AD57" s="34"/>
      <c r="AE57" s="34"/>
      <c r="AG57" s="107"/>
      <c r="AH57" s="82">
        <f t="shared" si="1"/>
        <v>0</v>
      </c>
      <c r="AI57" s="82">
        <f t="shared" si="2"/>
        <v>0</v>
      </c>
      <c r="AJ57" s="22"/>
      <c r="AK57" s="34">
        <f>IF(COUNTIF(Y57:Y$102,0)&lt;&gt;0,0,IF(Y57-Y56=1,COUNTIF(AL$7:AL57,"&lt;&gt;0"),0))</f>
        <v>0</v>
      </c>
      <c r="AL57" s="34">
        <f t="shared" si="3"/>
        <v>0</v>
      </c>
      <c r="AM57" s="80"/>
      <c r="AN57" s="34">
        <f>IF(COUNTIF(AC57:AC$102,0)&lt;&gt;0,0,IF(AC57-AC56=1,COUNTIF(AO$7:AO57,"&lt;&gt;0"),0))</f>
        <v>0</v>
      </c>
      <c r="AO57" s="34">
        <f t="shared" si="4"/>
        <v>0</v>
      </c>
      <c r="AP57" s="80"/>
      <c r="AR57" s="58"/>
    </row>
    <row r="58" spans="1:44" ht="15">
      <c r="A58" s="22"/>
      <c r="B58" s="22"/>
      <c r="C58" s="22"/>
      <c r="D58" s="22"/>
      <c r="E58" s="35"/>
      <c r="F58" s="35"/>
      <c r="G58" s="36"/>
      <c r="H58" s="36"/>
      <c r="I58" s="36"/>
      <c r="J58" s="36"/>
      <c r="K58" s="22"/>
      <c r="L58" s="22"/>
      <c r="M58" s="46"/>
      <c r="N58" s="140"/>
      <c r="O58" s="36"/>
      <c r="P58" s="36"/>
      <c r="Q58" s="37"/>
      <c r="R58" s="38"/>
      <c r="S58" s="108"/>
      <c r="T58" s="33"/>
      <c r="U58" s="33"/>
      <c r="V58" s="109"/>
      <c r="W58" s="38"/>
      <c r="X58" s="34"/>
      <c r="Y58" s="48"/>
      <c r="Z58" s="34"/>
      <c r="AA58" s="34"/>
      <c r="AB58" s="34"/>
      <c r="AC58" s="48"/>
      <c r="AD58" s="34"/>
      <c r="AE58" s="34"/>
      <c r="AG58" s="107"/>
      <c r="AH58" s="82">
        <f t="shared" si="1"/>
        <v>0</v>
      </c>
      <c r="AI58" s="82">
        <f t="shared" si="2"/>
        <v>0</v>
      </c>
      <c r="AJ58" s="22"/>
      <c r="AK58" s="34">
        <f>IF(COUNTIF(Y58:Y$102,0)&lt;&gt;0,0,IF(Y58-Y57=1,COUNTIF(AL$7:AL58,"&lt;&gt;0"),0))</f>
        <v>0</v>
      </c>
      <c r="AL58" s="34">
        <f t="shared" si="3"/>
        <v>0</v>
      </c>
      <c r="AM58" s="80"/>
      <c r="AN58" s="34">
        <f>IF(COUNTIF(AC58:AC$102,0)&lt;&gt;0,0,IF(AC58-AC57=1,COUNTIF(AO$7:AO58,"&lt;&gt;0"),0))</f>
        <v>0</v>
      </c>
      <c r="AO58" s="34">
        <f t="shared" si="4"/>
        <v>0</v>
      </c>
      <c r="AP58" s="80"/>
      <c r="AR58" s="58"/>
    </row>
    <row r="59" spans="1:44" ht="15">
      <c r="A59" s="22"/>
      <c r="B59" s="22"/>
      <c r="C59" s="22"/>
      <c r="D59" s="22"/>
      <c r="E59" s="35"/>
      <c r="F59" s="35"/>
      <c r="G59" s="36"/>
      <c r="H59" s="36"/>
      <c r="I59" s="36"/>
      <c r="J59" s="36"/>
      <c r="K59" s="22"/>
      <c r="L59" s="22"/>
      <c r="M59" s="46"/>
      <c r="N59" s="140"/>
      <c r="O59" s="36"/>
      <c r="P59" s="36"/>
      <c r="Q59" s="37"/>
      <c r="R59" s="38"/>
      <c r="S59" s="108"/>
      <c r="T59" s="33"/>
      <c r="U59" s="33"/>
      <c r="V59" s="109"/>
      <c r="W59" s="38"/>
      <c r="X59" s="34"/>
      <c r="Y59" s="48"/>
      <c r="Z59" s="34"/>
      <c r="AA59" s="34"/>
      <c r="AB59" s="34"/>
      <c r="AC59" s="48"/>
      <c r="AD59" s="34"/>
      <c r="AE59" s="34"/>
      <c r="AG59" s="107"/>
      <c r="AH59" s="82">
        <f t="shared" si="1"/>
        <v>0</v>
      </c>
      <c r="AI59" s="82">
        <f t="shared" si="2"/>
        <v>0</v>
      </c>
      <c r="AJ59" s="22"/>
      <c r="AK59" s="34">
        <f>IF(COUNTIF(Y59:Y$102,0)&lt;&gt;0,0,IF(Y59-Y58=1,COUNTIF(AL$7:AL59,"&lt;&gt;0"),0))</f>
        <v>0</v>
      </c>
      <c r="AL59" s="34">
        <f t="shared" si="3"/>
        <v>0</v>
      </c>
      <c r="AM59" s="80"/>
      <c r="AN59" s="34">
        <f>IF(COUNTIF(AC59:AC$102,0)&lt;&gt;0,0,IF(AC59-AC58=1,COUNTIF(AO$7:AO59,"&lt;&gt;0"),0))</f>
        <v>0</v>
      </c>
      <c r="AO59" s="34">
        <f t="shared" si="4"/>
        <v>0</v>
      </c>
      <c r="AP59" s="80"/>
      <c r="AR59" s="58"/>
    </row>
    <row r="60" spans="1:44" ht="15">
      <c r="A60" s="22"/>
      <c r="B60" s="22"/>
      <c r="C60" s="22"/>
      <c r="D60" s="22"/>
      <c r="E60" s="35"/>
      <c r="F60" s="35"/>
      <c r="G60" s="36"/>
      <c r="H60" s="36"/>
      <c r="I60" s="36"/>
      <c r="J60" s="36"/>
      <c r="K60" s="22"/>
      <c r="L60" s="22"/>
      <c r="M60" s="46"/>
      <c r="N60" s="140"/>
      <c r="O60" s="36"/>
      <c r="P60" s="36"/>
      <c r="Q60" s="37"/>
      <c r="R60" s="38"/>
      <c r="S60" s="108"/>
      <c r="T60" s="33"/>
      <c r="U60" s="33"/>
      <c r="V60" s="109"/>
      <c r="W60" s="38"/>
      <c r="X60" s="34"/>
      <c r="Y60" s="48"/>
      <c r="Z60" s="34"/>
      <c r="AA60" s="34"/>
      <c r="AB60" s="34"/>
      <c r="AC60" s="48"/>
      <c r="AD60" s="34"/>
      <c r="AE60" s="34"/>
      <c r="AG60" s="107"/>
      <c r="AH60" s="82">
        <f t="shared" si="1"/>
        <v>0</v>
      </c>
      <c r="AI60" s="82">
        <f t="shared" si="2"/>
        <v>0</v>
      </c>
      <c r="AJ60" s="22"/>
      <c r="AK60" s="34">
        <f>IF(COUNTIF(Y60:Y$102,0)&lt;&gt;0,0,IF(Y60-Y59=1,COUNTIF(AL$7:AL60,"&lt;&gt;0"),0))</f>
        <v>0</v>
      </c>
      <c r="AL60" s="34">
        <f t="shared" si="3"/>
        <v>0</v>
      </c>
      <c r="AM60" s="80"/>
      <c r="AN60" s="34">
        <f>IF(COUNTIF(AC60:AC$102,0)&lt;&gt;0,0,IF(AC60-AC59=1,COUNTIF(AO$7:AO60,"&lt;&gt;0"),0))</f>
        <v>0</v>
      </c>
      <c r="AO60" s="34">
        <f t="shared" si="4"/>
        <v>0</v>
      </c>
      <c r="AP60" s="80"/>
      <c r="AR60" s="58"/>
    </row>
    <row r="61" spans="1:44" ht="15">
      <c r="A61" s="22"/>
      <c r="B61" s="22"/>
      <c r="C61" s="22"/>
      <c r="D61" s="22"/>
      <c r="E61" s="35"/>
      <c r="F61" s="35"/>
      <c r="G61" s="36"/>
      <c r="H61" s="36"/>
      <c r="I61" s="36"/>
      <c r="J61" s="36"/>
      <c r="K61" s="22"/>
      <c r="L61" s="22"/>
      <c r="M61" s="46"/>
      <c r="N61" s="140"/>
      <c r="O61" s="36"/>
      <c r="P61" s="36"/>
      <c r="Q61" s="37"/>
      <c r="R61" s="38"/>
      <c r="S61" s="108"/>
      <c r="T61" s="33"/>
      <c r="U61" s="33"/>
      <c r="V61" s="109"/>
      <c r="W61" s="38"/>
      <c r="X61" s="34"/>
      <c r="Y61" s="48"/>
      <c r="Z61" s="34"/>
      <c r="AA61" s="34"/>
      <c r="AB61" s="34"/>
      <c r="AC61" s="48"/>
      <c r="AD61" s="34"/>
      <c r="AE61" s="34"/>
      <c r="AG61" s="107"/>
      <c r="AH61" s="82">
        <f t="shared" si="1"/>
        <v>0</v>
      </c>
      <c r="AI61" s="82">
        <f t="shared" si="2"/>
        <v>0</v>
      </c>
      <c r="AJ61" s="22"/>
      <c r="AK61" s="34">
        <f>IF(COUNTIF(Y61:Y$102,0)&lt;&gt;0,0,IF(Y61-Y60=1,COUNTIF(AL$7:AL61,"&lt;&gt;0"),0))</f>
        <v>0</v>
      </c>
      <c r="AL61" s="34">
        <f t="shared" si="3"/>
        <v>0</v>
      </c>
      <c r="AM61" s="80"/>
      <c r="AN61" s="34">
        <f>IF(COUNTIF(AC61:AC$102,0)&lt;&gt;0,0,IF(AC61-AC60=1,COUNTIF(AO$7:AO61,"&lt;&gt;0"),0))</f>
        <v>0</v>
      </c>
      <c r="AO61" s="34">
        <f t="shared" si="4"/>
        <v>0</v>
      </c>
      <c r="AP61" s="80"/>
      <c r="AR61" s="58"/>
    </row>
    <row r="62" spans="1:44" ht="15">
      <c r="A62" s="22"/>
      <c r="B62" s="22"/>
      <c r="C62" s="22"/>
      <c r="D62" s="22"/>
      <c r="E62" s="35"/>
      <c r="F62" s="35"/>
      <c r="G62" s="36"/>
      <c r="H62" s="36"/>
      <c r="I62" s="36"/>
      <c r="J62" s="36"/>
      <c r="K62" s="22"/>
      <c r="L62" s="22"/>
      <c r="M62" s="46"/>
      <c r="N62" s="140"/>
      <c r="O62" s="36"/>
      <c r="P62" s="36"/>
      <c r="Q62" s="37"/>
      <c r="R62" s="38"/>
      <c r="S62" s="108"/>
      <c r="T62" s="33"/>
      <c r="U62" s="33"/>
      <c r="V62" s="109"/>
      <c r="W62" s="38"/>
      <c r="X62" s="34"/>
      <c r="Y62" s="48"/>
      <c r="Z62" s="34"/>
      <c r="AA62" s="34"/>
      <c r="AB62" s="34"/>
      <c r="AC62" s="48"/>
      <c r="AD62" s="34"/>
      <c r="AE62" s="34"/>
      <c r="AG62" s="107"/>
      <c r="AH62" s="82">
        <f t="shared" si="1"/>
        <v>0</v>
      </c>
      <c r="AI62" s="82">
        <f t="shared" si="2"/>
        <v>0</v>
      </c>
      <c r="AJ62" s="22"/>
      <c r="AK62" s="34">
        <f>IF(COUNTIF(Y62:Y$102,0)&lt;&gt;0,0,IF(Y62-Y61=1,COUNTIF(AL$7:AL62,"&lt;&gt;0"),0))</f>
        <v>0</v>
      </c>
      <c r="AL62" s="34">
        <f t="shared" si="3"/>
        <v>0</v>
      </c>
      <c r="AM62" s="80"/>
      <c r="AN62" s="34">
        <f>IF(COUNTIF(AC62:AC$102,0)&lt;&gt;0,0,IF(AC62-AC61=1,COUNTIF(AO$7:AO62,"&lt;&gt;0"),0))</f>
        <v>0</v>
      </c>
      <c r="AO62" s="34">
        <f t="shared" si="4"/>
        <v>0</v>
      </c>
      <c r="AP62" s="80"/>
      <c r="AR62" s="58"/>
    </row>
    <row r="63" spans="1:44" ht="15">
      <c r="A63" s="22"/>
      <c r="B63" s="22"/>
      <c r="C63" s="22"/>
      <c r="D63" s="22"/>
      <c r="E63" s="35"/>
      <c r="F63" s="35"/>
      <c r="G63" s="36"/>
      <c r="H63" s="36"/>
      <c r="I63" s="36"/>
      <c r="J63" s="36"/>
      <c r="K63" s="22"/>
      <c r="L63" s="22"/>
      <c r="M63" s="46"/>
      <c r="N63" s="140"/>
      <c r="O63" s="36"/>
      <c r="P63" s="36"/>
      <c r="Q63" s="37"/>
      <c r="R63" s="38"/>
      <c r="S63" s="108"/>
      <c r="T63" s="33"/>
      <c r="U63" s="33"/>
      <c r="V63" s="109"/>
      <c r="W63" s="38"/>
      <c r="X63" s="34"/>
      <c r="Y63" s="48"/>
      <c r="Z63" s="34"/>
      <c r="AA63" s="34"/>
      <c r="AB63" s="34"/>
      <c r="AC63" s="48"/>
      <c r="AD63" s="34"/>
      <c r="AE63" s="34"/>
      <c r="AG63" s="107"/>
      <c r="AH63" s="82">
        <f t="shared" si="1"/>
        <v>0</v>
      </c>
      <c r="AI63" s="82">
        <f t="shared" si="2"/>
        <v>0</v>
      </c>
      <c r="AJ63" s="22"/>
      <c r="AK63" s="34">
        <f>IF(COUNTIF(Y63:Y$102,0)&lt;&gt;0,0,IF(Y63-Y62=1,COUNTIF(AL$7:AL63,"&lt;&gt;0"),0))</f>
        <v>0</v>
      </c>
      <c r="AL63" s="34">
        <f t="shared" si="3"/>
        <v>0</v>
      </c>
      <c r="AM63" s="80"/>
      <c r="AN63" s="34">
        <f>IF(COUNTIF(AC63:AC$102,0)&lt;&gt;0,0,IF(AC63-AC62=1,COUNTIF(AO$7:AO63,"&lt;&gt;0"),0))</f>
        <v>0</v>
      </c>
      <c r="AO63" s="34">
        <f t="shared" si="4"/>
        <v>0</v>
      </c>
      <c r="AP63" s="80"/>
      <c r="AR63" s="58"/>
    </row>
    <row r="64" spans="1:44" ht="15">
      <c r="A64" s="22"/>
      <c r="B64" s="22"/>
      <c r="C64" s="22"/>
      <c r="D64" s="22"/>
      <c r="E64" s="35"/>
      <c r="F64" s="35"/>
      <c r="G64" s="36"/>
      <c r="H64" s="36"/>
      <c r="I64" s="36"/>
      <c r="J64" s="36"/>
      <c r="K64" s="22"/>
      <c r="L64" s="22"/>
      <c r="M64" s="46"/>
      <c r="N64" s="140"/>
      <c r="O64" s="36"/>
      <c r="P64" s="36"/>
      <c r="Q64" s="37"/>
      <c r="R64" s="38"/>
      <c r="S64" s="108"/>
      <c r="T64" s="33"/>
      <c r="U64" s="33"/>
      <c r="V64" s="109"/>
      <c r="W64" s="38"/>
      <c r="X64" s="34"/>
      <c r="Y64" s="48"/>
      <c r="Z64" s="34"/>
      <c r="AA64" s="34"/>
      <c r="AB64" s="34"/>
      <c r="AC64" s="48"/>
      <c r="AD64" s="34"/>
      <c r="AE64" s="34"/>
      <c r="AG64" s="107"/>
      <c r="AH64" s="82">
        <f t="shared" si="1"/>
        <v>0</v>
      </c>
      <c r="AI64" s="82">
        <f t="shared" si="2"/>
        <v>0</v>
      </c>
      <c r="AJ64" s="22"/>
      <c r="AK64" s="34">
        <f>IF(COUNTIF(Y64:Y$102,0)&lt;&gt;0,0,IF(Y64-Y63=1,COUNTIF(AL$7:AL64,"&lt;&gt;0"),0))</f>
        <v>0</v>
      </c>
      <c r="AL64" s="34">
        <f t="shared" si="3"/>
        <v>0</v>
      </c>
      <c r="AM64" s="80"/>
      <c r="AN64" s="34">
        <f>IF(COUNTIF(AC64:AC$102,0)&lt;&gt;0,0,IF(AC64-AC63=1,COUNTIF(AO$7:AO64,"&lt;&gt;0"),0))</f>
        <v>0</v>
      </c>
      <c r="AO64" s="34">
        <f t="shared" si="4"/>
        <v>0</v>
      </c>
      <c r="AP64" s="80"/>
      <c r="AR64" s="58"/>
    </row>
    <row r="65" spans="1:44" ht="15">
      <c r="A65" s="22"/>
      <c r="B65" s="22"/>
      <c r="C65" s="22"/>
      <c r="D65" s="22"/>
      <c r="E65" s="35"/>
      <c r="F65" s="35"/>
      <c r="G65" s="36"/>
      <c r="H65" s="36"/>
      <c r="I65" s="36"/>
      <c r="J65" s="36"/>
      <c r="K65" s="22"/>
      <c r="L65" s="22"/>
      <c r="M65" s="46"/>
      <c r="N65" s="140"/>
      <c r="O65" s="36"/>
      <c r="P65" s="36"/>
      <c r="Q65" s="37"/>
      <c r="R65" s="38"/>
      <c r="S65" s="108"/>
      <c r="T65" s="33"/>
      <c r="U65" s="33"/>
      <c r="V65" s="109"/>
      <c r="W65" s="38"/>
      <c r="X65" s="34"/>
      <c r="Y65" s="48"/>
      <c r="Z65" s="34"/>
      <c r="AA65" s="34"/>
      <c r="AB65" s="34"/>
      <c r="AC65" s="48"/>
      <c r="AD65" s="34"/>
      <c r="AE65" s="34"/>
      <c r="AG65" s="107"/>
      <c r="AH65" s="82">
        <f t="shared" si="1"/>
        <v>0</v>
      </c>
      <c r="AI65" s="82">
        <f t="shared" si="2"/>
        <v>0</v>
      </c>
      <c r="AJ65" s="22"/>
      <c r="AK65" s="34">
        <f>IF(COUNTIF(Y65:Y$102,0)&lt;&gt;0,0,IF(Y65-Y64=1,COUNTIF(AL$7:AL65,"&lt;&gt;0"),0))</f>
        <v>0</v>
      </c>
      <c r="AL65" s="34">
        <f t="shared" si="3"/>
        <v>0</v>
      </c>
      <c r="AM65" s="80"/>
      <c r="AN65" s="34">
        <f>IF(COUNTIF(AC65:AC$102,0)&lt;&gt;0,0,IF(AC65-AC64=1,COUNTIF(AO$7:AO65,"&lt;&gt;0"),0))</f>
        <v>0</v>
      </c>
      <c r="AO65" s="34">
        <f t="shared" si="4"/>
        <v>0</v>
      </c>
      <c r="AP65" s="80"/>
      <c r="AR65" s="58"/>
    </row>
    <row r="66" spans="1:44" ht="15">
      <c r="A66" s="22"/>
      <c r="B66" s="22"/>
      <c r="C66" s="22"/>
      <c r="D66" s="22"/>
      <c r="E66" s="35"/>
      <c r="F66" s="35"/>
      <c r="G66" s="36"/>
      <c r="H66" s="36"/>
      <c r="I66" s="36"/>
      <c r="J66" s="36"/>
      <c r="K66" s="22"/>
      <c r="L66" s="22"/>
      <c r="M66" s="46"/>
      <c r="N66" s="140"/>
      <c r="O66" s="36"/>
      <c r="P66" s="36"/>
      <c r="Q66" s="37"/>
      <c r="R66" s="38"/>
      <c r="S66" s="108"/>
      <c r="T66" s="33"/>
      <c r="U66" s="33"/>
      <c r="V66" s="109"/>
      <c r="W66" s="38"/>
      <c r="X66" s="34"/>
      <c r="Y66" s="48"/>
      <c r="Z66" s="34"/>
      <c r="AA66" s="34"/>
      <c r="AB66" s="34"/>
      <c r="AC66" s="48"/>
      <c r="AD66" s="34"/>
      <c r="AE66" s="34"/>
      <c r="AG66" s="107"/>
      <c r="AH66" s="82">
        <f t="shared" si="1"/>
        <v>0</v>
      </c>
      <c r="AI66" s="82">
        <f t="shared" si="2"/>
        <v>0</v>
      </c>
      <c r="AJ66" s="22"/>
      <c r="AK66" s="34">
        <f>IF(COUNTIF(Y66:Y$102,0)&lt;&gt;0,0,IF(Y66-Y65=1,COUNTIF(AL$7:AL66,"&lt;&gt;0"),0))</f>
        <v>0</v>
      </c>
      <c r="AL66" s="34">
        <f t="shared" si="3"/>
        <v>0</v>
      </c>
      <c r="AM66" s="80"/>
      <c r="AN66" s="34">
        <f>IF(COUNTIF(AC66:AC$102,0)&lt;&gt;0,0,IF(AC66-AC65=1,COUNTIF(AO$7:AO66,"&lt;&gt;0"),0))</f>
        <v>0</v>
      </c>
      <c r="AO66" s="34">
        <f t="shared" si="4"/>
        <v>0</v>
      </c>
      <c r="AP66" s="80"/>
      <c r="AR66" s="58"/>
    </row>
    <row r="67" spans="1:44" ht="15">
      <c r="A67" s="22"/>
      <c r="B67" s="22"/>
      <c r="C67" s="22"/>
      <c r="D67" s="22"/>
      <c r="E67" s="35"/>
      <c r="F67" s="35"/>
      <c r="G67" s="36"/>
      <c r="H67" s="36"/>
      <c r="I67" s="36"/>
      <c r="J67" s="36"/>
      <c r="K67" s="22"/>
      <c r="L67" s="22"/>
      <c r="M67" s="46"/>
      <c r="N67" s="140"/>
      <c r="O67" s="36"/>
      <c r="P67" s="36"/>
      <c r="Q67" s="37"/>
      <c r="R67" s="38"/>
      <c r="S67" s="108"/>
      <c r="T67" s="33"/>
      <c r="U67" s="33"/>
      <c r="V67" s="109"/>
      <c r="W67" s="38"/>
      <c r="X67" s="34"/>
      <c r="Y67" s="48"/>
      <c r="Z67" s="34"/>
      <c r="AA67" s="34"/>
      <c r="AB67" s="34"/>
      <c r="AC67" s="48"/>
      <c r="AD67" s="34"/>
      <c r="AE67" s="34"/>
      <c r="AG67" s="107"/>
      <c r="AH67" s="82">
        <f t="shared" si="1"/>
        <v>0</v>
      </c>
      <c r="AI67" s="82">
        <f t="shared" si="2"/>
        <v>0</v>
      </c>
      <c r="AJ67" s="22"/>
      <c r="AK67" s="34">
        <f>IF(COUNTIF(Y67:Y$102,0)&lt;&gt;0,0,IF(Y67-Y66=1,COUNTIF(AL$7:AL67,"&lt;&gt;0"),0))</f>
        <v>0</v>
      </c>
      <c r="AL67" s="34">
        <f t="shared" si="3"/>
        <v>0</v>
      </c>
      <c r="AM67" s="80"/>
      <c r="AN67" s="34">
        <f>IF(COUNTIF(AC67:AC$102,0)&lt;&gt;0,0,IF(AC67-AC66=1,COUNTIF(AO$7:AO67,"&lt;&gt;0"),0))</f>
        <v>0</v>
      </c>
      <c r="AO67" s="34">
        <f t="shared" si="4"/>
        <v>0</v>
      </c>
      <c r="AP67" s="80"/>
      <c r="AR67" s="58"/>
    </row>
    <row r="68" spans="1:44" ht="15">
      <c r="A68" s="22"/>
      <c r="B68" s="22"/>
      <c r="C68" s="22"/>
      <c r="D68" s="22"/>
      <c r="E68" s="35"/>
      <c r="F68" s="35"/>
      <c r="G68" s="36"/>
      <c r="H68" s="36"/>
      <c r="I68" s="36"/>
      <c r="J68" s="36"/>
      <c r="K68" s="22"/>
      <c r="L68" s="22"/>
      <c r="M68" s="46"/>
      <c r="N68" s="140"/>
      <c r="O68" s="36"/>
      <c r="P68" s="36"/>
      <c r="Q68" s="37"/>
      <c r="R68" s="38"/>
      <c r="S68" s="108"/>
      <c r="T68" s="33"/>
      <c r="U68" s="33"/>
      <c r="V68" s="109"/>
      <c r="W68" s="38"/>
      <c r="X68" s="34"/>
      <c r="Y68" s="48"/>
      <c r="Z68" s="34"/>
      <c r="AA68" s="34"/>
      <c r="AB68" s="34"/>
      <c r="AC68" s="48"/>
      <c r="AD68" s="34"/>
      <c r="AE68" s="34"/>
      <c r="AG68" s="107"/>
      <c r="AH68" s="82">
        <f t="shared" si="1"/>
        <v>0</v>
      </c>
      <c r="AI68" s="82">
        <f t="shared" si="2"/>
        <v>0</v>
      </c>
      <c r="AJ68" s="22"/>
      <c r="AK68" s="34">
        <f>IF(COUNTIF(Y68:Y$102,0)&lt;&gt;0,0,IF(Y68-Y67=1,COUNTIF(AL$7:AL68,"&lt;&gt;0"),0))</f>
        <v>0</v>
      </c>
      <c r="AL68" s="34">
        <f t="shared" si="3"/>
        <v>0</v>
      </c>
      <c r="AM68" s="80"/>
      <c r="AN68" s="34">
        <f>IF(COUNTIF(AC68:AC$102,0)&lt;&gt;0,0,IF(AC68-AC67=1,COUNTIF(AO$7:AO68,"&lt;&gt;0"),0))</f>
        <v>0</v>
      </c>
      <c r="AO68" s="34">
        <f t="shared" si="4"/>
        <v>0</v>
      </c>
      <c r="AP68" s="80"/>
      <c r="AR68" s="58"/>
    </row>
    <row r="69" spans="1:44" ht="15">
      <c r="A69" s="22"/>
      <c r="B69" s="22"/>
      <c r="C69" s="22"/>
      <c r="D69" s="22"/>
      <c r="E69" s="35"/>
      <c r="F69" s="35"/>
      <c r="G69" s="36"/>
      <c r="H69" s="36"/>
      <c r="I69" s="36"/>
      <c r="J69" s="36"/>
      <c r="K69" s="22"/>
      <c r="L69" s="22"/>
      <c r="M69" s="46"/>
      <c r="N69" s="140"/>
      <c r="O69" s="36"/>
      <c r="P69" s="36"/>
      <c r="Q69" s="37"/>
      <c r="R69" s="38"/>
      <c r="S69" s="108"/>
      <c r="T69" s="33"/>
      <c r="U69" s="33"/>
      <c r="V69" s="109"/>
      <c r="W69" s="38"/>
      <c r="X69" s="34"/>
      <c r="Y69" s="48"/>
      <c r="Z69" s="34"/>
      <c r="AA69" s="34"/>
      <c r="AB69" s="34"/>
      <c r="AC69" s="48"/>
      <c r="AD69" s="34"/>
      <c r="AE69" s="34"/>
      <c r="AG69" s="107"/>
      <c r="AH69" s="82">
        <f t="shared" si="1"/>
        <v>0</v>
      </c>
      <c r="AI69" s="82">
        <f t="shared" si="2"/>
        <v>0</v>
      </c>
      <c r="AJ69" s="22"/>
      <c r="AK69" s="34">
        <f>IF(COUNTIF(Y69:Y$102,0)&lt;&gt;0,0,IF(Y69-Y68=1,COUNTIF(AL$7:AL69,"&lt;&gt;0"),0))</f>
        <v>0</v>
      </c>
      <c r="AL69" s="34">
        <f t="shared" si="3"/>
        <v>0</v>
      </c>
      <c r="AM69" s="80"/>
      <c r="AN69" s="34">
        <f>IF(COUNTIF(AC69:AC$102,0)&lt;&gt;0,0,IF(AC69-AC68=1,COUNTIF(AO$7:AO69,"&lt;&gt;0"),0))</f>
        <v>0</v>
      </c>
      <c r="AO69" s="34">
        <f t="shared" si="4"/>
        <v>0</v>
      </c>
      <c r="AP69" s="80"/>
      <c r="AR69" s="58"/>
    </row>
    <row r="70" spans="1:44" ht="15">
      <c r="A70" s="22"/>
      <c r="B70" s="22"/>
      <c r="C70" s="22"/>
      <c r="D70" s="22"/>
      <c r="E70" s="35"/>
      <c r="F70" s="35"/>
      <c r="G70" s="36"/>
      <c r="H70" s="36"/>
      <c r="I70" s="36"/>
      <c r="J70" s="36"/>
      <c r="K70" s="22"/>
      <c r="L70" s="22"/>
      <c r="M70" s="46"/>
      <c r="N70" s="140"/>
      <c r="O70" s="36"/>
      <c r="P70" s="36"/>
      <c r="Q70" s="37"/>
      <c r="R70" s="38"/>
      <c r="S70" s="108"/>
      <c r="T70" s="33"/>
      <c r="U70" s="33"/>
      <c r="V70" s="109"/>
      <c r="W70" s="38"/>
      <c r="X70" s="34"/>
      <c r="Y70" s="48"/>
      <c r="Z70" s="34"/>
      <c r="AA70" s="34"/>
      <c r="AB70" s="34"/>
      <c r="AC70" s="48"/>
      <c r="AD70" s="34"/>
      <c r="AE70" s="34"/>
      <c r="AG70" s="107"/>
      <c r="AH70" s="82">
        <f t="shared" si="1"/>
        <v>0</v>
      </c>
      <c r="AI70" s="82">
        <f t="shared" si="2"/>
        <v>0</v>
      </c>
      <c r="AJ70" s="22"/>
      <c r="AK70" s="34">
        <f>IF(COUNTIF(Y70:Y$102,0)&lt;&gt;0,0,IF(Y70-Y69=1,COUNTIF(AL$7:AL70,"&lt;&gt;0"),0))</f>
        <v>0</v>
      </c>
      <c r="AL70" s="34">
        <f t="shared" si="3"/>
        <v>0</v>
      </c>
      <c r="AM70" s="80"/>
      <c r="AN70" s="34">
        <f>IF(COUNTIF(AC70:AC$102,0)&lt;&gt;0,0,IF(AC70-AC69=1,COUNTIF(AO$7:AO70,"&lt;&gt;0"),0))</f>
        <v>0</v>
      </c>
      <c r="AO70" s="34">
        <f t="shared" si="4"/>
        <v>0</v>
      </c>
      <c r="AP70" s="80"/>
      <c r="AR70" s="58"/>
    </row>
    <row r="71" spans="1:44" ht="15">
      <c r="A71" s="22"/>
      <c r="B71" s="22"/>
      <c r="C71" s="22"/>
      <c r="D71" s="22"/>
      <c r="E71" s="35"/>
      <c r="F71" s="35"/>
      <c r="G71" s="36"/>
      <c r="H71" s="36"/>
      <c r="I71" s="36"/>
      <c r="J71" s="36"/>
      <c r="K71" s="22"/>
      <c r="L71" s="22"/>
      <c r="M71" s="46"/>
      <c r="N71" s="140"/>
      <c r="O71" s="36"/>
      <c r="P71" s="36"/>
      <c r="Q71" s="37"/>
      <c r="R71" s="38"/>
      <c r="S71" s="108"/>
      <c r="T71" s="33"/>
      <c r="U71" s="33"/>
      <c r="V71" s="109"/>
      <c r="W71" s="38"/>
      <c r="X71" s="34"/>
      <c r="Y71" s="48"/>
      <c r="Z71" s="34"/>
      <c r="AA71" s="34"/>
      <c r="AB71" s="34"/>
      <c r="AC71" s="48"/>
      <c r="AD71" s="34"/>
      <c r="AE71" s="34"/>
      <c r="AG71" s="107"/>
      <c r="AH71" s="82">
        <f t="shared" si="1"/>
        <v>0</v>
      </c>
      <c r="AI71" s="82">
        <f t="shared" si="2"/>
        <v>0</v>
      </c>
      <c r="AJ71" s="22"/>
      <c r="AK71" s="34">
        <f>IF(COUNTIF(Y71:Y$102,0)&lt;&gt;0,0,IF(Y71-Y70=1,COUNTIF(AL$7:AL71,"&lt;&gt;0"),0))</f>
        <v>0</v>
      </c>
      <c r="AL71" s="34">
        <f t="shared" si="3"/>
        <v>0</v>
      </c>
      <c r="AM71" s="80"/>
      <c r="AN71" s="34">
        <f>IF(COUNTIF(AC71:AC$102,0)&lt;&gt;0,0,IF(AC71-AC70=1,COUNTIF(AO$7:AO71,"&lt;&gt;0"),0))</f>
        <v>0</v>
      </c>
      <c r="AO71" s="34">
        <f t="shared" si="4"/>
        <v>0</v>
      </c>
      <c r="AP71" s="80"/>
      <c r="AR71" s="58"/>
    </row>
    <row r="72" spans="1:44" ht="15">
      <c r="A72" s="22"/>
      <c r="B72" s="22"/>
      <c r="C72" s="22"/>
      <c r="D72" s="22"/>
      <c r="E72" s="35"/>
      <c r="F72" s="35"/>
      <c r="G72" s="36"/>
      <c r="H72" s="36"/>
      <c r="I72" s="36"/>
      <c r="J72" s="36"/>
      <c r="K72" s="22"/>
      <c r="L72" s="22"/>
      <c r="M72" s="46"/>
      <c r="N72" s="140"/>
      <c r="O72" s="36"/>
      <c r="P72" s="36"/>
      <c r="Q72" s="37"/>
      <c r="R72" s="38"/>
      <c r="S72" s="108"/>
      <c r="T72" s="33"/>
      <c r="U72" s="33"/>
      <c r="V72" s="109"/>
      <c r="W72" s="38"/>
      <c r="X72" s="34"/>
      <c r="Y72" s="48"/>
      <c r="Z72" s="34"/>
      <c r="AA72" s="34"/>
      <c r="AB72" s="34"/>
      <c r="AC72" s="48"/>
      <c r="AD72" s="34"/>
      <c r="AE72" s="34"/>
      <c r="AG72" s="107"/>
      <c r="AH72" s="82">
        <f t="shared" ref="AH72:AH135" si="5">IF(Y72=0,0,IF(Y72-Y71=1,AH71+$N72,AH71))</f>
        <v>0</v>
      </c>
      <c r="AI72" s="82">
        <f t="shared" ref="AI72:AI135" si="6">IF(AC72=0,0,IF(AC72-AC71=1,AI71-$N72,AI71))</f>
        <v>0</v>
      </c>
      <c r="AJ72" s="22"/>
      <c r="AK72" s="34">
        <f>IF(COUNTIF(Y72:Y$102,0)&lt;&gt;0,0,IF(Y72-Y71=1,COUNTIF(AL$7:AL72,"&lt;&gt;0"),0))</f>
        <v>0</v>
      </c>
      <c r="AL72" s="34">
        <f t="shared" ref="AL72:AL102" si="7">IF(Z72=1,M72,0)</f>
        <v>0</v>
      </c>
      <c r="AM72" s="80"/>
      <c r="AN72" s="34">
        <f>IF(COUNTIF(AC72:AC$102,0)&lt;&gt;0,0,IF(AC72-AC71=1,COUNTIF(AO$7:AO72,"&lt;&gt;0"),0))</f>
        <v>0</v>
      </c>
      <c r="AO72" s="34">
        <f t="shared" ref="AO72:AO102" si="8">IF(AD72=1,M72,0)</f>
        <v>0</v>
      </c>
      <c r="AP72" s="80"/>
      <c r="AR72" s="58"/>
    </row>
    <row r="73" spans="1:44" ht="15">
      <c r="A73" s="22"/>
      <c r="B73" s="22"/>
      <c r="C73" s="22"/>
      <c r="D73" s="22"/>
      <c r="E73" s="35"/>
      <c r="F73" s="35"/>
      <c r="G73" s="36"/>
      <c r="H73" s="36"/>
      <c r="I73" s="36"/>
      <c r="J73" s="36"/>
      <c r="K73" s="22"/>
      <c r="L73" s="22"/>
      <c r="M73" s="46"/>
      <c r="N73" s="140"/>
      <c r="O73" s="36"/>
      <c r="P73" s="36"/>
      <c r="Q73" s="37"/>
      <c r="R73" s="38"/>
      <c r="S73" s="108"/>
      <c r="T73" s="33"/>
      <c r="U73" s="33"/>
      <c r="V73" s="109"/>
      <c r="W73" s="38"/>
      <c r="X73" s="34"/>
      <c r="Y73" s="48"/>
      <c r="Z73" s="34"/>
      <c r="AA73" s="34"/>
      <c r="AB73" s="34"/>
      <c r="AC73" s="48"/>
      <c r="AD73" s="34"/>
      <c r="AE73" s="34"/>
      <c r="AG73" s="107"/>
      <c r="AH73" s="82">
        <f t="shared" si="5"/>
        <v>0</v>
      </c>
      <c r="AI73" s="82">
        <f t="shared" si="6"/>
        <v>0</v>
      </c>
      <c r="AJ73" s="22"/>
      <c r="AK73" s="34">
        <f>IF(COUNTIF(Y73:Y$102,0)&lt;&gt;0,0,IF(Y73-Y72=1,COUNTIF(AL$7:AL73,"&lt;&gt;0"),0))</f>
        <v>0</v>
      </c>
      <c r="AL73" s="34">
        <f t="shared" si="7"/>
        <v>0</v>
      </c>
      <c r="AM73" s="80"/>
      <c r="AN73" s="34">
        <f>IF(COUNTIF(AC73:AC$102,0)&lt;&gt;0,0,IF(AC73-AC72=1,COUNTIF(AO$7:AO73,"&lt;&gt;0"),0))</f>
        <v>0</v>
      </c>
      <c r="AO73" s="34">
        <f t="shared" si="8"/>
        <v>0</v>
      </c>
      <c r="AP73" s="80"/>
      <c r="AR73" s="58"/>
    </row>
    <row r="74" spans="1:44" ht="15">
      <c r="A74" s="22"/>
      <c r="B74" s="22"/>
      <c r="C74" s="22"/>
      <c r="D74" s="22"/>
      <c r="E74" s="35"/>
      <c r="F74" s="35"/>
      <c r="G74" s="36"/>
      <c r="H74" s="36"/>
      <c r="I74" s="36"/>
      <c r="J74" s="36"/>
      <c r="K74" s="22"/>
      <c r="L74" s="22"/>
      <c r="M74" s="46"/>
      <c r="N74" s="140"/>
      <c r="O74" s="36"/>
      <c r="P74" s="36"/>
      <c r="Q74" s="37"/>
      <c r="R74" s="38"/>
      <c r="S74" s="108"/>
      <c r="T74" s="33"/>
      <c r="U74" s="33"/>
      <c r="V74" s="109"/>
      <c r="W74" s="38"/>
      <c r="X74" s="34"/>
      <c r="Y74" s="48"/>
      <c r="Z74" s="34"/>
      <c r="AA74" s="34"/>
      <c r="AB74" s="34"/>
      <c r="AC74" s="48"/>
      <c r="AD74" s="34"/>
      <c r="AE74" s="34"/>
      <c r="AG74" s="107"/>
      <c r="AH74" s="82">
        <f t="shared" si="5"/>
        <v>0</v>
      </c>
      <c r="AI74" s="82">
        <f t="shared" si="6"/>
        <v>0</v>
      </c>
      <c r="AJ74" s="22"/>
      <c r="AK74" s="34">
        <f>IF(COUNTIF(Y74:Y$102,0)&lt;&gt;0,0,IF(Y74-Y73=1,COUNTIF(AL$7:AL74,"&lt;&gt;0"),0))</f>
        <v>0</v>
      </c>
      <c r="AL74" s="34">
        <f t="shared" si="7"/>
        <v>0</v>
      </c>
      <c r="AM74" s="80"/>
      <c r="AN74" s="34">
        <f>IF(COUNTIF(AC74:AC$102,0)&lt;&gt;0,0,IF(AC74-AC73=1,COUNTIF(AO$7:AO74,"&lt;&gt;0"),0))</f>
        <v>0</v>
      </c>
      <c r="AO74" s="34">
        <f t="shared" si="8"/>
        <v>0</v>
      </c>
      <c r="AP74" s="80"/>
      <c r="AR74" s="58"/>
    </row>
    <row r="75" spans="1:44" ht="15">
      <c r="A75" s="22"/>
      <c r="B75" s="22"/>
      <c r="C75" s="22"/>
      <c r="D75" s="22"/>
      <c r="E75" s="35"/>
      <c r="F75" s="35"/>
      <c r="G75" s="36"/>
      <c r="H75" s="36"/>
      <c r="I75" s="36"/>
      <c r="J75" s="36"/>
      <c r="K75" s="22"/>
      <c r="L75" s="22"/>
      <c r="M75" s="46"/>
      <c r="N75" s="140"/>
      <c r="O75" s="36"/>
      <c r="P75" s="36"/>
      <c r="Q75" s="37"/>
      <c r="R75" s="38"/>
      <c r="S75" s="108"/>
      <c r="T75" s="33"/>
      <c r="U75" s="33"/>
      <c r="V75" s="109"/>
      <c r="W75" s="38"/>
      <c r="X75" s="34"/>
      <c r="Y75" s="48"/>
      <c r="Z75" s="34"/>
      <c r="AA75" s="34"/>
      <c r="AB75" s="34"/>
      <c r="AC75" s="48"/>
      <c r="AD75" s="34"/>
      <c r="AE75" s="34"/>
      <c r="AG75" s="107"/>
      <c r="AH75" s="82">
        <f t="shared" si="5"/>
        <v>0</v>
      </c>
      <c r="AI75" s="82">
        <f t="shared" si="6"/>
        <v>0</v>
      </c>
      <c r="AJ75" s="22"/>
      <c r="AK75" s="34">
        <f>IF(COUNTIF(Y75:Y$102,0)&lt;&gt;0,0,IF(Y75-Y74=1,COUNTIF(AL$7:AL75,"&lt;&gt;0"),0))</f>
        <v>0</v>
      </c>
      <c r="AL75" s="34">
        <f t="shared" si="7"/>
        <v>0</v>
      </c>
      <c r="AM75" s="80"/>
      <c r="AN75" s="34">
        <f>IF(COUNTIF(AC75:AC$102,0)&lt;&gt;0,0,IF(AC75-AC74=1,COUNTIF(AO$7:AO75,"&lt;&gt;0"),0))</f>
        <v>0</v>
      </c>
      <c r="AO75" s="34">
        <f t="shared" si="8"/>
        <v>0</v>
      </c>
      <c r="AP75" s="80"/>
      <c r="AR75" s="58"/>
    </row>
    <row r="76" spans="1:44" ht="15">
      <c r="A76" s="22"/>
      <c r="B76" s="22"/>
      <c r="C76" s="22"/>
      <c r="D76" s="22"/>
      <c r="E76" s="35"/>
      <c r="F76" s="35"/>
      <c r="G76" s="36"/>
      <c r="H76" s="36"/>
      <c r="I76" s="36"/>
      <c r="J76" s="36"/>
      <c r="K76" s="22"/>
      <c r="L76" s="22"/>
      <c r="M76" s="46"/>
      <c r="N76" s="140"/>
      <c r="O76" s="36"/>
      <c r="P76" s="36"/>
      <c r="Q76" s="37"/>
      <c r="R76" s="38"/>
      <c r="S76" s="108"/>
      <c r="T76" s="33"/>
      <c r="U76" s="33"/>
      <c r="V76" s="109"/>
      <c r="W76" s="38"/>
      <c r="X76" s="34"/>
      <c r="Y76" s="48"/>
      <c r="Z76" s="34"/>
      <c r="AA76" s="34"/>
      <c r="AB76" s="34"/>
      <c r="AC76" s="48"/>
      <c r="AD76" s="34"/>
      <c r="AE76" s="34"/>
      <c r="AG76" s="107"/>
      <c r="AH76" s="82">
        <f t="shared" si="5"/>
        <v>0</v>
      </c>
      <c r="AI76" s="82">
        <f t="shared" si="6"/>
        <v>0</v>
      </c>
      <c r="AJ76" s="22"/>
      <c r="AK76" s="34">
        <f>IF(COUNTIF(Y76:Y$102,0)&lt;&gt;0,0,IF(Y76-Y75=1,COUNTIF(AL$7:AL76,"&lt;&gt;0"),0))</f>
        <v>0</v>
      </c>
      <c r="AL76" s="34">
        <f t="shared" si="7"/>
        <v>0</v>
      </c>
      <c r="AM76" s="80"/>
      <c r="AN76" s="34">
        <f>IF(COUNTIF(AC76:AC$102,0)&lt;&gt;0,0,IF(AC76-AC75=1,COUNTIF(AO$7:AO76,"&lt;&gt;0"),0))</f>
        <v>0</v>
      </c>
      <c r="AO76" s="34">
        <f t="shared" si="8"/>
        <v>0</v>
      </c>
      <c r="AP76" s="80"/>
      <c r="AR76" s="58"/>
    </row>
    <row r="77" spans="1:44" ht="15">
      <c r="A77" s="22"/>
      <c r="B77" s="22"/>
      <c r="C77" s="22"/>
      <c r="D77" s="22"/>
      <c r="E77" s="35"/>
      <c r="F77" s="35"/>
      <c r="G77" s="36"/>
      <c r="H77" s="36"/>
      <c r="I77" s="36"/>
      <c r="J77" s="36"/>
      <c r="K77" s="22"/>
      <c r="L77" s="22"/>
      <c r="M77" s="46"/>
      <c r="N77" s="140"/>
      <c r="O77" s="36"/>
      <c r="P77" s="36"/>
      <c r="Q77" s="37"/>
      <c r="R77" s="38"/>
      <c r="S77" s="108"/>
      <c r="T77" s="33"/>
      <c r="U77" s="33"/>
      <c r="V77" s="109"/>
      <c r="W77" s="38"/>
      <c r="X77" s="34"/>
      <c r="Y77" s="48"/>
      <c r="Z77" s="34"/>
      <c r="AA77" s="34"/>
      <c r="AB77" s="34"/>
      <c r="AC77" s="48"/>
      <c r="AD77" s="34"/>
      <c r="AE77" s="34"/>
      <c r="AG77" s="107"/>
      <c r="AH77" s="82">
        <f t="shared" si="5"/>
        <v>0</v>
      </c>
      <c r="AI77" s="82">
        <f t="shared" si="6"/>
        <v>0</v>
      </c>
      <c r="AJ77" s="22"/>
      <c r="AK77" s="34">
        <f>IF(COUNTIF(Y77:Y$102,0)&lt;&gt;0,0,IF(Y77-Y76=1,COUNTIF(AL$7:AL77,"&lt;&gt;0"),0))</f>
        <v>0</v>
      </c>
      <c r="AL77" s="34">
        <f t="shared" si="7"/>
        <v>0</v>
      </c>
      <c r="AM77" s="80"/>
      <c r="AN77" s="34">
        <f>IF(COUNTIF(AC77:AC$102,0)&lt;&gt;0,0,IF(AC77-AC76=1,COUNTIF(AO$7:AO77,"&lt;&gt;0"),0))</f>
        <v>0</v>
      </c>
      <c r="AO77" s="34">
        <f t="shared" si="8"/>
        <v>0</v>
      </c>
      <c r="AP77" s="80"/>
      <c r="AR77" s="58"/>
    </row>
    <row r="78" spans="1:44" ht="15">
      <c r="A78" s="22"/>
      <c r="B78" s="22"/>
      <c r="C78" s="22"/>
      <c r="D78" s="22"/>
      <c r="E78" s="35"/>
      <c r="F78" s="35"/>
      <c r="G78" s="36"/>
      <c r="H78" s="36"/>
      <c r="I78" s="36"/>
      <c r="J78" s="36"/>
      <c r="K78" s="22"/>
      <c r="L78" s="22"/>
      <c r="M78" s="46"/>
      <c r="N78" s="140"/>
      <c r="O78" s="36"/>
      <c r="P78" s="36"/>
      <c r="Q78" s="37"/>
      <c r="R78" s="38"/>
      <c r="S78" s="108"/>
      <c r="T78" s="33"/>
      <c r="U78" s="33"/>
      <c r="V78" s="109"/>
      <c r="W78" s="38"/>
      <c r="X78" s="34"/>
      <c r="Y78" s="48"/>
      <c r="Z78" s="34"/>
      <c r="AA78" s="34"/>
      <c r="AB78" s="34"/>
      <c r="AC78" s="48"/>
      <c r="AD78" s="34"/>
      <c r="AE78" s="34"/>
      <c r="AG78" s="107"/>
      <c r="AH78" s="82">
        <f t="shared" si="5"/>
        <v>0</v>
      </c>
      <c r="AI78" s="82">
        <f t="shared" si="6"/>
        <v>0</v>
      </c>
      <c r="AJ78" s="22"/>
      <c r="AK78" s="34">
        <f>IF(COUNTIF(Y78:Y$102,0)&lt;&gt;0,0,IF(Y78-Y77=1,COUNTIF(AL$7:AL78,"&lt;&gt;0"),0))</f>
        <v>0</v>
      </c>
      <c r="AL78" s="34">
        <f t="shared" si="7"/>
        <v>0</v>
      </c>
      <c r="AM78" s="80"/>
      <c r="AN78" s="34">
        <f>IF(COUNTIF(AC78:AC$102,0)&lt;&gt;0,0,IF(AC78-AC77=1,COUNTIF(AO$7:AO78,"&lt;&gt;0"),0))</f>
        <v>0</v>
      </c>
      <c r="AO78" s="34">
        <f t="shared" si="8"/>
        <v>0</v>
      </c>
      <c r="AP78" s="80"/>
      <c r="AR78" s="58"/>
    </row>
    <row r="79" spans="1:44" ht="15">
      <c r="A79" s="22"/>
      <c r="B79" s="22"/>
      <c r="C79" s="22"/>
      <c r="D79" s="22"/>
      <c r="E79" s="35"/>
      <c r="F79" s="35"/>
      <c r="G79" s="36"/>
      <c r="H79" s="36"/>
      <c r="I79" s="36"/>
      <c r="J79" s="36"/>
      <c r="K79" s="22"/>
      <c r="L79" s="22"/>
      <c r="M79" s="46"/>
      <c r="N79" s="140"/>
      <c r="O79" s="36"/>
      <c r="P79" s="36"/>
      <c r="Q79" s="37"/>
      <c r="R79" s="38"/>
      <c r="S79" s="108"/>
      <c r="T79" s="33"/>
      <c r="U79" s="33"/>
      <c r="V79" s="109"/>
      <c r="W79" s="38"/>
      <c r="X79" s="34"/>
      <c r="Y79" s="48"/>
      <c r="Z79" s="34"/>
      <c r="AA79" s="34"/>
      <c r="AB79" s="34"/>
      <c r="AC79" s="48"/>
      <c r="AD79" s="34"/>
      <c r="AE79" s="34"/>
      <c r="AG79" s="107"/>
      <c r="AH79" s="82">
        <f t="shared" si="5"/>
        <v>0</v>
      </c>
      <c r="AI79" s="82">
        <f t="shared" si="6"/>
        <v>0</v>
      </c>
      <c r="AJ79" s="22"/>
      <c r="AK79" s="34">
        <f>IF(COUNTIF(Y79:Y$102,0)&lt;&gt;0,0,IF(Y79-Y78=1,COUNTIF(AL$7:AL79,"&lt;&gt;0"),0))</f>
        <v>0</v>
      </c>
      <c r="AL79" s="34">
        <f t="shared" si="7"/>
        <v>0</v>
      </c>
      <c r="AM79" s="80"/>
      <c r="AN79" s="34">
        <f>IF(COUNTIF(AC79:AC$102,0)&lt;&gt;0,0,IF(AC79-AC78=1,COUNTIF(AO$7:AO79,"&lt;&gt;0"),0))</f>
        <v>0</v>
      </c>
      <c r="AO79" s="34">
        <f t="shared" si="8"/>
        <v>0</v>
      </c>
      <c r="AP79" s="80"/>
      <c r="AR79" s="58"/>
    </row>
    <row r="80" spans="1:44" ht="15">
      <c r="A80" s="22"/>
      <c r="B80" s="22"/>
      <c r="C80" s="22"/>
      <c r="D80" s="22"/>
      <c r="E80" s="35"/>
      <c r="F80" s="35"/>
      <c r="G80" s="36"/>
      <c r="H80" s="36"/>
      <c r="I80" s="36"/>
      <c r="J80" s="36"/>
      <c r="K80" s="22"/>
      <c r="L80" s="22"/>
      <c r="M80" s="46"/>
      <c r="N80" s="140"/>
      <c r="O80" s="36"/>
      <c r="P80" s="36"/>
      <c r="Q80" s="37"/>
      <c r="R80" s="38"/>
      <c r="S80" s="108"/>
      <c r="T80" s="33"/>
      <c r="U80" s="33"/>
      <c r="V80" s="109"/>
      <c r="W80" s="38"/>
      <c r="X80" s="34"/>
      <c r="Y80" s="48"/>
      <c r="Z80" s="34"/>
      <c r="AA80" s="34"/>
      <c r="AB80" s="34"/>
      <c r="AC80" s="48"/>
      <c r="AD80" s="34"/>
      <c r="AE80" s="34"/>
      <c r="AG80" s="107"/>
      <c r="AH80" s="82">
        <f t="shared" si="5"/>
        <v>0</v>
      </c>
      <c r="AI80" s="82">
        <f t="shared" si="6"/>
        <v>0</v>
      </c>
      <c r="AJ80" s="22"/>
      <c r="AK80" s="34">
        <f>IF(COUNTIF(Y80:Y$102,0)&lt;&gt;0,0,IF(Y80-Y79=1,COUNTIF(AL$7:AL80,"&lt;&gt;0"),0))</f>
        <v>0</v>
      </c>
      <c r="AL80" s="34">
        <f t="shared" si="7"/>
        <v>0</v>
      </c>
      <c r="AM80" s="80"/>
      <c r="AN80" s="34">
        <f>IF(COUNTIF(AC80:AC$102,0)&lt;&gt;0,0,IF(AC80-AC79=1,COUNTIF(AO$7:AO80,"&lt;&gt;0"),0))</f>
        <v>0</v>
      </c>
      <c r="AO80" s="34">
        <f t="shared" si="8"/>
        <v>0</v>
      </c>
      <c r="AP80" s="80"/>
      <c r="AR80" s="58"/>
    </row>
    <row r="81" spans="1:44" ht="15">
      <c r="A81" s="22"/>
      <c r="B81" s="22"/>
      <c r="C81" s="22"/>
      <c r="D81" s="22"/>
      <c r="E81" s="35"/>
      <c r="F81" s="35"/>
      <c r="G81" s="36"/>
      <c r="H81" s="36"/>
      <c r="I81" s="36"/>
      <c r="J81" s="36"/>
      <c r="K81" s="22"/>
      <c r="L81" s="22"/>
      <c r="M81" s="46"/>
      <c r="N81" s="140"/>
      <c r="O81" s="36"/>
      <c r="P81" s="36"/>
      <c r="Q81" s="37"/>
      <c r="R81" s="38"/>
      <c r="S81" s="108"/>
      <c r="T81" s="33"/>
      <c r="U81" s="33"/>
      <c r="V81" s="109"/>
      <c r="W81" s="38"/>
      <c r="X81" s="34"/>
      <c r="Y81" s="48"/>
      <c r="Z81" s="34"/>
      <c r="AA81" s="34"/>
      <c r="AB81" s="34"/>
      <c r="AC81" s="48"/>
      <c r="AD81" s="34"/>
      <c r="AE81" s="34"/>
      <c r="AG81" s="107"/>
      <c r="AH81" s="82">
        <f t="shared" si="5"/>
        <v>0</v>
      </c>
      <c r="AI81" s="82">
        <f t="shared" si="6"/>
        <v>0</v>
      </c>
      <c r="AJ81" s="22"/>
      <c r="AK81" s="34">
        <f>IF(COUNTIF(Y81:Y$102,0)&lt;&gt;0,0,IF(Y81-Y80=1,COUNTIF(AL$7:AL81,"&lt;&gt;0"),0))</f>
        <v>0</v>
      </c>
      <c r="AL81" s="34">
        <f t="shared" si="7"/>
        <v>0</v>
      </c>
      <c r="AM81" s="80"/>
      <c r="AN81" s="34">
        <f>IF(COUNTIF(AC81:AC$102,0)&lt;&gt;0,0,IF(AC81-AC80=1,COUNTIF(AO$7:AO81,"&lt;&gt;0"),0))</f>
        <v>0</v>
      </c>
      <c r="AO81" s="34">
        <f t="shared" si="8"/>
        <v>0</v>
      </c>
      <c r="AP81" s="80"/>
      <c r="AR81" s="58"/>
    </row>
    <row r="82" spans="1:44" ht="15">
      <c r="A82" s="22"/>
      <c r="B82" s="22"/>
      <c r="C82" s="22"/>
      <c r="D82" s="22"/>
      <c r="E82" s="35"/>
      <c r="F82" s="35"/>
      <c r="G82" s="36"/>
      <c r="H82" s="36"/>
      <c r="I82" s="36"/>
      <c r="J82" s="36"/>
      <c r="K82" s="22"/>
      <c r="L82" s="22"/>
      <c r="M82" s="46"/>
      <c r="N82" s="140"/>
      <c r="O82" s="36"/>
      <c r="P82" s="36"/>
      <c r="Q82" s="37"/>
      <c r="R82" s="38"/>
      <c r="S82" s="108"/>
      <c r="T82" s="33"/>
      <c r="U82" s="33"/>
      <c r="V82" s="109"/>
      <c r="W82" s="38"/>
      <c r="X82" s="34"/>
      <c r="Y82" s="48"/>
      <c r="Z82" s="34"/>
      <c r="AA82" s="34"/>
      <c r="AB82" s="34"/>
      <c r="AC82" s="48"/>
      <c r="AD82" s="34"/>
      <c r="AE82" s="34"/>
      <c r="AG82" s="107"/>
      <c r="AH82" s="82">
        <f t="shared" si="5"/>
        <v>0</v>
      </c>
      <c r="AI82" s="82">
        <f t="shared" si="6"/>
        <v>0</v>
      </c>
      <c r="AJ82" s="22"/>
      <c r="AK82" s="34">
        <f>IF(COUNTIF(Y82:Y$102,0)&lt;&gt;0,0,IF(Y82-Y81=1,COUNTIF(AL$7:AL82,"&lt;&gt;0"),0))</f>
        <v>0</v>
      </c>
      <c r="AL82" s="34">
        <f t="shared" si="7"/>
        <v>0</v>
      </c>
      <c r="AM82" s="80"/>
      <c r="AN82" s="34">
        <f>IF(COUNTIF(AC82:AC$102,0)&lt;&gt;0,0,IF(AC82-AC81=1,COUNTIF(AO$7:AO82,"&lt;&gt;0"),0))</f>
        <v>0</v>
      </c>
      <c r="AO82" s="34">
        <f t="shared" si="8"/>
        <v>0</v>
      </c>
      <c r="AP82" s="80"/>
      <c r="AR82" s="58"/>
    </row>
    <row r="83" spans="1:44" ht="15">
      <c r="A83" s="22"/>
      <c r="B83" s="22"/>
      <c r="C83" s="22"/>
      <c r="D83" s="22"/>
      <c r="E83" s="35"/>
      <c r="F83" s="35"/>
      <c r="G83" s="36"/>
      <c r="H83" s="36"/>
      <c r="I83" s="36"/>
      <c r="J83" s="36"/>
      <c r="K83" s="22"/>
      <c r="L83" s="22"/>
      <c r="M83" s="46"/>
      <c r="N83" s="140"/>
      <c r="O83" s="36"/>
      <c r="P83" s="36"/>
      <c r="Q83" s="37"/>
      <c r="R83" s="38"/>
      <c r="S83" s="108"/>
      <c r="T83" s="33"/>
      <c r="U83" s="33"/>
      <c r="V83" s="109"/>
      <c r="W83" s="38"/>
      <c r="X83" s="34"/>
      <c r="Y83" s="48"/>
      <c r="Z83" s="34"/>
      <c r="AA83" s="34"/>
      <c r="AB83" s="34"/>
      <c r="AC83" s="48"/>
      <c r="AD83" s="34"/>
      <c r="AE83" s="34"/>
      <c r="AG83" s="107"/>
      <c r="AH83" s="82">
        <f t="shared" si="5"/>
        <v>0</v>
      </c>
      <c r="AI83" s="82">
        <f t="shared" si="6"/>
        <v>0</v>
      </c>
      <c r="AJ83" s="22"/>
      <c r="AK83" s="34">
        <f>IF(COUNTIF(Y83:Y$102,0)&lt;&gt;0,0,IF(Y83-Y82=1,COUNTIF(AL$7:AL83,"&lt;&gt;0"),0))</f>
        <v>0</v>
      </c>
      <c r="AL83" s="34">
        <f t="shared" si="7"/>
        <v>0</v>
      </c>
      <c r="AM83" s="80"/>
      <c r="AN83" s="34">
        <f>IF(COUNTIF(AC83:AC$102,0)&lt;&gt;0,0,IF(AC83-AC82=1,COUNTIF(AO$7:AO83,"&lt;&gt;0"),0))</f>
        <v>0</v>
      </c>
      <c r="AO83" s="34">
        <f t="shared" si="8"/>
        <v>0</v>
      </c>
      <c r="AP83" s="80"/>
      <c r="AR83" s="58"/>
    </row>
    <row r="84" spans="1:44" ht="15">
      <c r="A84" s="22"/>
      <c r="B84" s="22"/>
      <c r="C84" s="22"/>
      <c r="D84" s="22"/>
      <c r="E84" s="35"/>
      <c r="F84" s="35"/>
      <c r="G84" s="36"/>
      <c r="H84" s="36"/>
      <c r="I84" s="36"/>
      <c r="J84" s="36"/>
      <c r="K84" s="22"/>
      <c r="L84" s="22"/>
      <c r="M84" s="46"/>
      <c r="N84" s="140"/>
      <c r="O84" s="36"/>
      <c r="P84" s="36"/>
      <c r="Q84" s="37"/>
      <c r="R84" s="38"/>
      <c r="S84" s="108"/>
      <c r="T84" s="33"/>
      <c r="U84" s="33"/>
      <c r="V84" s="109"/>
      <c r="W84" s="38"/>
      <c r="X84" s="34"/>
      <c r="Y84" s="48"/>
      <c r="Z84" s="34"/>
      <c r="AA84" s="34"/>
      <c r="AB84" s="34"/>
      <c r="AC84" s="48"/>
      <c r="AD84" s="34"/>
      <c r="AE84" s="34"/>
      <c r="AG84" s="107"/>
      <c r="AH84" s="82">
        <f t="shared" si="5"/>
        <v>0</v>
      </c>
      <c r="AI84" s="82">
        <f t="shared" si="6"/>
        <v>0</v>
      </c>
      <c r="AJ84" s="22"/>
      <c r="AK84" s="34">
        <f>IF(COUNTIF(Y84:Y$102,0)&lt;&gt;0,0,IF(Y84-Y83=1,COUNTIF(AL$7:AL84,"&lt;&gt;0"),0))</f>
        <v>0</v>
      </c>
      <c r="AL84" s="34">
        <f t="shared" si="7"/>
        <v>0</v>
      </c>
      <c r="AM84" s="80"/>
      <c r="AN84" s="34">
        <f>IF(COUNTIF(AC84:AC$102,0)&lt;&gt;0,0,IF(AC84-AC83=1,COUNTIF(AO$7:AO84,"&lt;&gt;0"),0))</f>
        <v>0</v>
      </c>
      <c r="AO84" s="34">
        <f t="shared" si="8"/>
        <v>0</v>
      </c>
      <c r="AP84" s="80"/>
      <c r="AR84" s="58"/>
    </row>
    <row r="85" spans="1:44" ht="15">
      <c r="A85" s="22"/>
      <c r="B85" s="22"/>
      <c r="C85" s="22"/>
      <c r="D85" s="22"/>
      <c r="E85" s="35"/>
      <c r="F85" s="35"/>
      <c r="G85" s="36"/>
      <c r="H85" s="36"/>
      <c r="I85" s="36"/>
      <c r="J85" s="36"/>
      <c r="K85" s="22"/>
      <c r="L85" s="22"/>
      <c r="M85" s="46"/>
      <c r="N85" s="140"/>
      <c r="O85" s="36"/>
      <c r="P85" s="36"/>
      <c r="Q85" s="37"/>
      <c r="R85" s="38"/>
      <c r="S85" s="108"/>
      <c r="T85" s="33"/>
      <c r="U85" s="33"/>
      <c r="V85" s="109"/>
      <c r="W85" s="38"/>
      <c r="X85" s="34"/>
      <c r="Y85" s="48"/>
      <c r="Z85" s="34"/>
      <c r="AA85" s="34"/>
      <c r="AB85" s="34"/>
      <c r="AC85" s="48"/>
      <c r="AD85" s="34"/>
      <c r="AE85" s="34"/>
      <c r="AG85" s="107"/>
      <c r="AH85" s="82">
        <f t="shared" si="5"/>
        <v>0</v>
      </c>
      <c r="AI85" s="82">
        <f t="shared" si="6"/>
        <v>0</v>
      </c>
      <c r="AJ85" s="22"/>
      <c r="AK85" s="34">
        <f>IF(COUNTIF(Y85:Y$102,0)&lt;&gt;0,0,IF(Y85-Y84=1,COUNTIF(AL$7:AL85,"&lt;&gt;0"),0))</f>
        <v>0</v>
      </c>
      <c r="AL85" s="34">
        <f t="shared" si="7"/>
        <v>0</v>
      </c>
      <c r="AM85" s="80"/>
      <c r="AN85" s="34">
        <f>IF(COUNTIF(AC85:AC$102,0)&lt;&gt;0,0,IF(AC85-AC84=1,COUNTIF(AO$7:AO85,"&lt;&gt;0"),0))</f>
        <v>0</v>
      </c>
      <c r="AO85" s="34">
        <f t="shared" si="8"/>
        <v>0</v>
      </c>
      <c r="AP85" s="80"/>
      <c r="AR85" s="58"/>
    </row>
    <row r="86" spans="1:44" ht="15">
      <c r="A86" s="22"/>
      <c r="B86" s="22"/>
      <c r="C86" s="22"/>
      <c r="D86" s="22"/>
      <c r="E86" s="35"/>
      <c r="F86" s="35"/>
      <c r="G86" s="36"/>
      <c r="H86" s="36"/>
      <c r="I86" s="36"/>
      <c r="J86" s="36"/>
      <c r="K86" s="22"/>
      <c r="L86" s="22"/>
      <c r="M86" s="46"/>
      <c r="N86" s="140"/>
      <c r="O86" s="36"/>
      <c r="P86" s="36"/>
      <c r="Q86" s="37"/>
      <c r="R86" s="38"/>
      <c r="S86" s="108"/>
      <c r="T86" s="33"/>
      <c r="U86" s="33"/>
      <c r="V86" s="109"/>
      <c r="W86" s="38"/>
      <c r="X86" s="34"/>
      <c r="Y86" s="48"/>
      <c r="Z86" s="34"/>
      <c r="AA86" s="34"/>
      <c r="AB86" s="34"/>
      <c r="AC86" s="48"/>
      <c r="AD86" s="34"/>
      <c r="AE86" s="34"/>
      <c r="AG86" s="107"/>
      <c r="AH86" s="82">
        <f t="shared" si="5"/>
        <v>0</v>
      </c>
      <c r="AI86" s="82">
        <f t="shared" si="6"/>
        <v>0</v>
      </c>
      <c r="AJ86" s="22"/>
      <c r="AK86" s="34">
        <f>IF(COUNTIF(Y86:Y$102,0)&lt;&gt;0,0,IF(Y86-Y85=1,COUNTIF(AL$7:AL86,"&lt;&gt;0"),0))</f>
        <v>0</v>
      </c>
      <c r="AL86" s="34">
        <f t="shared" si="7"/>
        <v>0</v>
      </c>
      <c r="AM86" s="80"/>
      <c r="AN86" s="34">
        <f>IF(COUNTIF(AC86:AC$102,0)&lt;&gt;0,0,IF(AC86-AC85=1,COUNTIF(AO$7:AO86,"&lt;&gt;0"),0))</f>
        <v>0</v>
      </c>
      <c r="AO86" s="34">
        <f t="shared" si="8"/>
        <v>0</v>
      </c>
      <c r="AP86" s="80"/>
      <c r="AR86" s="58"/>
    </row>
    <row r="87" spans="1:44" ht="15">
      <c r="A87" s="22"/>
      <c r="B87" s="22"/>
      <c r="C87" s="22"/>
      <c r="D87" s="22"/>
      <c r="E87" s="35"/>
      <c r="F87" s="35"/>
      <c r="G87" s="36"/>
      <c r="H87" s="36"/>
      <c r="I87" s="36"/>
      <c r="J87" s="36"/>
      <c r="K87" s="22"/>
      <c r="L87" s="22"/>
      <c r="M87" s="46"/>
      <c r="N87" s="140"/>
      <c r="O87" s="36"/>
      <c r="P87" s="36"/>
      <c r="Q87" s="37"/>
      <c r="R87" s="38"/>
      <c r="S87" s="108"/>
      <c r="T87" s="33"/>
      <c r="U87" s="33"/>
      <c r="V87" s="109"/>
      <c r="W87" s="38"/>
      <c r="X87" s="34"/>
      <c r="Y87" s="48"/>
      <c r="Z87" s="34"/>
      <c r="AA87" s="34"/>
      <c r="AB87" s="34"/>
      <c r="AC87" s="48"/>
      <c r="AD87" s="34"/>
      <c r="AE87" s="34"/>
      <c r="AG87" s="107"/>
      <c r="AH87" s="82">
        <f t="shared" si="5"/>
        <v>0</v>
      </c>
      <c r="AI87" s="82">
        <f t="shared" si="6"/>
        <v>0</v>
      </c>
      <c r="AJ87" s="22"/>
      <c r="AK87" s="34">
        <f>IF(COUNTIF(Y87:Y$102,0)&lt;&gt;0,0,IF(Y87-Y86=1,COUNTIF(AL$7:AL87,"&lt;&gt;0"),0))</f>
        <v>0</v>
      </c>
      <c r="AL87" s="34">
        <f t="shared" si="7"/>
        <v>0</v>
      </c>
      <c r="AM87" s="80"/>
      <c r="AN87" s="34">
        <f>IF(COUNTIF(AC87:AC$102,0)&lt;&gt;0,0,IF(AC87-AC86=1,COUNTIF(AO$7:AO87,"&lt;&gt;0"),0))</f>
        <v>0</v>
      </c>
      <c r="AO87" s="34">
        <f t="shared" si="8"/>
        <v>0</v>
      </c>
      <c r="AP87" s="80"/>
      <c r="AR87" s="58"/>
    </row>
    <row r="88" spans="1:44" ht="15">
      <c r="A88" s="22"/>
      <c r="B88" s="22"/>
      <c r="C88" s="22"/>
      <c r="D88" s="22"/>
      <c r="E88" s="35"/>
      <c r="F88" s="35"/>
      <c r="G88" s="36"/>
      <c r="H88" s="36"/>
      <c r="I88" s="36"/>
      <c r="J88" s="36"/>
      <c r="K88" s="22"/>
      <c r="L88" s="22"/>
      <c r="M88" s="46"/>
      <c r="N88" s="140"/>
      <c r="O88" s="36"/>
      <c r="P88" s="36"/>
      <c r="Q88" s="37"/>
      <c r="R88" s="38"/>
      <c r="S88" s="108"/>
      <c r="T88" s="33"/>
      <c r="U88" s="33"/>
      <c r="V88" s="109"/>
      <c r="W88" s="38"/>
      <c r="X88" s="34"/>
      <c r="Y88" s="48"/>
      <c r="Z88" s="34"/>
      <c r="AA88" s="34"/>
      <c r="AB88" s="34"/>
      <c r="AC88" s="48"/>
      <c r="AD88" s="34"/>
      <c r="AE88" s="34"/>
      <c r="AG88" s="107"/>
      <c r="AH88" s="82">
        <f t="shared" si="5"/>
        <v>0</v>
      </c>
      <c r="AI88" s="82">
        <f t="shared" si="6"/>
        <v>0</v>
      </c>
      <c r="AJ88" s="22"/>
      <c r="AK88" s="34">
        <f>IF(COUNTIF(Y88:Y$102,0)&lt;&gt;0,0,IF(Y88-Y87=1,COUNTIF(AL$7:AL88,"&lt;&gt;0"),0))</f>
        <v>0</v>
      </c>
      <c r="AL88" s="34">
        <f t="shared" si="7"/>
        <v>0</v>
      </c>
      <c r="AM88" s="80"/>
      <c r="AN88" s="34">
        <f>IF(COUNTIF(AC88:AC$102,0)&lt;&gt;0,0,IF(AC88-AC87=1,COUNTIF(AO$7:AO88,"&lt;&gt;0"),0))</f>
        <v>0</v>
      </c>
      <c r="AO88" s="34">
        <f t="shared" si="8"/>
        <v>0</v>
      </c>
      <c r="AP88" s="80"/>
      <c r="AR88" s="58"/>
    </row>
    <row r="89" spans="1:44" ht="15">
      <c r="A89" s="22"/>
      <c r="B89" s="22"/>
      <c r="C89" s="22"/>
      <c r="D89" s="22"/>
      <c r="E89" s="35"/>
      <c r="F89" s="35"/>
      <c r="G89" s="36"/>
      <c r="H89" s="36"/>
      <c r="I89" s="36"/>
      <c r="J89" s="36"/>
      <c r="K89" s="22"/>
      <c r="L89" s="22"/>
      <c r="M89" s="46"/>
      <c r="N89" s="140"/>
      <c r="O89" s="36"/>
      <c r="P89" s="36"/>
      <c r="Q89" s="37"/>
      <c r="R89" s="38"/>
      <c r="S89" s="108"/>
      <c r="T89" s="33"/>
      <c r="U89" s="33"/>
      <c r="V89" s="109"/>
      <c r="W89" s="38"/>
      <c r="X89" s="34"/>
      <c r="Y89" s="48"/>
      <c r="Z89" s="34"/>
      <c r="AA89" s="34"/>
      <c r="AB89" s="34"/>
      <c r="AC89" s="48"/>
      <c r="AD89" s="34"/>
      <c r="AE89" s="34"/>
      <c r="AG89" s="107"/>
      <c r="AH89" s="82">
        <f t="shared" si="5"/>
        <v>0</v>
      </c>
      <c r="AI89" s="82">
        <f t="shared" si="6"/>
        <v>0</v>
      </c>
      <c r="AJ89" s="22"/>
      <c r="AK89" s="34">
        <f>IF(COUNTIF(Y89:Y$102,0)&lt;&gt;0,0,IF(Y89-Y88=1,COUNTIF(AL$7:AL89,"&lt;&gt;0"),0))</f>
        <v>0</v>
      </c>
      <c r="AL89" s="34">
        <f t="shared" si="7"/>
        <v>0</v>
      </c>
      <c r="AM89" s="80"/>
      <c r="AN89" s="34">
        <f>IF(COUNTIF(AC89:AC$102,0)&lt;&gt;0,0,IF(AC89-AC88=1,COUNTIF(AO$7:AO89,"&lt;&gt;0"),0))</f>
        <v>0</v>
      </c>
      <c r="AO89" s="34">
        <f t="shared" si="8"/>
        <v>0</v>
      </c>
      <c r="AP89" s="80"/>
      <c r="AR89" s="58"/>
    </row>
    <row r="90" spans="1:44" ht="15">
      <c r="A90" s="22"/>
      <c r="B90" s="22"/>
      <c r="C90" s="22"/>
      <c r="D90" s="22"/>
      <c r="E90" s="35"/>
      <c r="F90" s="35"/>
      <c r="G90" s="36"/>
      <c r="H90" s="36"/>
      <c r="I90" s="36"/>
      <c r="J90" s="36"/>
      <c r="K90" s="22"/>
      <c r="L90" s="22"/>
      <c r="M90" s="46"/>
      <c r="N90" s="140"/>
      <c r="O90" s="36"/>
      <c r="P90" s="36"/>
      <c r="Q90" s="37"/>
      <c r="R90" s="38"/>
      <c r="S90" s="108"/>
      <c r="T90" s="33"/>
      <c r="U90" s="33"/>
      <c r="V90" s="109"/>
      <c r="W90" s="38"/>
      <c r="X90" s="34"/>
      <c r="Y90" s="48"/>
      <c r="Z90" s="34"/>
      <c r="AA90" s="34"/>
      <c r="AB90" s="34"/>
      <c r="AC90" s="48"/>
      <c r="AD90" s="34"/>
      <c r="AE90" s="34"/>
      <c r="AG90" s="107"/>
      <c r="AH90" s="82">
        <f t="shared" si="5"/>
        <v>0</v>
      </c>
      <c r="AI90" s="82">
        <f t="shared" si="6"/>
        <v>0</v>
      </c>
      <c r="AJ90" s="22"/>
      <c r="AK90" s="34">
        <f>IF(COUNTIF(Y90:Y$102,0)&lt;&gt;0,0,IF(Y90-Y89=1,COUNTIF(AL$7:AL90,"&lt;&gt;0"),0))</f>
        <v>0</v>
      </c>
      <c r="AL90" s="34">
        <f t="shared" si="7"/>
        <v>0</v>
      </c>
      <c r="AM90" s="80"/>
      <c r="AN90" s="34">
        <f>IF(COUNTIF(AC90:AC$102,0)&lt;&gt;0,0,IF(AC90-AC89=1,COUNTIF(AO$7:AO90,"&lt;&gt;0"),0))</f>
        <v>0</v>
      </c>
      <c r="AO90" s="34">
        <f t="shared" si="8"/>
        <v>0</v>
      </c>
      <c r="AP90" s="80"/>
      <c r="AR90" s="58"/>
    </row>
    <row r="91" spans="1:44" ht="15">
      <c r="A91" s="22"/>
      <c r="B91" s="22"/>
      <c r="C91" s="22"/>
      <c r="D91" s="22"/>
      <c r="E91" s="35"/>
      <c r="F91" s="35"/>
      <c r="G91" s="36"/>
      <c r="H91" s="36"/>
      <c r="I91" s="36"/>
      <c r="J91" s="36"/>
      <c r="K91" s="139"/>
      <c r="L91" s="139"/>
      <c r="M91" s="46"/>
      <c r="N91" s="140"/>
      <c r="O91" s="36"/>
      <c r="P91" s="36"/>
      <c r="Q91" s="37"/>
      <c r="R91" s="38"/>
      <c r="S91" s="108"/>
      <c r="T91" s="33"/>
      <c r="U91" s="33"/>
      <c r="V91" s="109"/>
      <c r="W91" s="38"/>
      <c r="X91" s="34"/>
      <c r="Y91" s="48"/>
      <c r="Z91" s="34"/>
      <c r="AA91" s="34"/>
      <c r="AB91" s="34"/>
      <c r="AC91" s="48"/>
      <c r="AD91" s="34"/>
      <c r="AE91" s="34"/>
      <c r="AG91" s="107"/>
      <c r="AH91" s="82">
        <f t="shared" si="5"/>
        <v>0</v>
      </c>
      <c r="AI91" s="82">
        <f t="shared" si="6"/>
        <v>0</v>
      </c>
      <c r="AJ91" s="22"/>
      <c r="AK91" s="34">
        <f>IF(COUNTIF(Y91:Y$102,0)&lt;&gt;0,0,IF(Y91-Y90=1,COUNTIF(AL$7:AL91,"&lt;&gt;0"),0))</f>
        <v>0</v>
      </c>
      <c r="AL91" s="34">
        <f t="shared" si="7"/>
        <v>0</v>
      </c>
      <c r="AM91" s="80"/>
      <c r="AN91" s="34">
        <f>IF(COUNTIF(AC91:AC$102,0)&lt;&gt;0,0,IF(AC91-AC90=1,COUNTIF(AO$7:AO91,"&lt;&gt;0"),0))</f>
        <v>0</v>
      </c>
      <c r="AO91" s="34">
        <f t="shared" si="8"/>
        <v>0</v>
      </c>
      <c r="AP91" s="80"/>
      <c r="AR91" s="58"/>
    </row>
    <row r="92" spans="1:44" ht="15">
      <c r="A92" s="22"/>
      <c r="B92" s="22"/>
      <c r="C92" s="22"/>
      <c r="D92" s="22"/>
      <c r="E92" s="35"/>
      <c r="F92" s="35"/>
      <c r="G92" s="36"/>
      <c r="H92" s="36"/>
      <c r="I92" s="36"/>
      <c r="J92" s="36"/>
      <c r="K92" s="22"/>
      <c r="L92" s="22"/>
      <c r="M92" s="46"/>
      <c r="N92" s="140"/>
      <c r="O92" s="36"/>
      <c r="P92" s="36"/>
      <c r="Q92" s="37"/>
      <c r="R92" s="38"/>
      <c r="S92" s="108"/>
      <c r="T92" s="33"/>
      <c r="U92" s="33"/>
      <c r="V92" s="109"/>
      <c r="W92" s="38"/>
      <c r="X92" s="34"/>
      <c r="Y92" s="48"/>
      <c r="Z92" s="34"/>
      <c r="AA92" s="34"/>
      <c r="AB92" s="34"/>
      <c r="AC92" s="48"/>
      <c r="AD92" s="34"/>
      <c r="AE92" s="34"/>
      <c r="AG92" s="107"/>
      <c r="AH92" s="82">
        <f t="shared" si="5"/>
        <v>0</v>
      </c>
      <c r="AI92" s="82">
        <f t="shared" si="6"/>
        <v>0</v>
      </c>
      <c r="AJ92" s="22"/>
      <c r="AK92" s="34">
        <f>IF(COUNTIF(Y92:Y$102,0)&lt;&gt;0,0,IF(Y92-Y91=1,COUNTIF(AL$7:AL92,"&lt;&gt;0"),0))</f>
        <v>0</v>
      </c>
      <c r="AL92" s="34">
        <f t="shared" si="7"/>
        <v>0</v>
      </c>
      <c r="AM92" s="80"/>
      <c r="AN92" s="34">
        <f>IF(COUNTIF(AC92:AC$102,0)&lt;&gt;0,0,IF(AC92-AC91=1,COUNTIF(AO$7:AO92,"&lt;&gt;0"),0))</f>
        <v>0</v>
      </c>
      <c r="AO92" s="34">
        <f t="shared" si="8"/>
        <v>0</v>
      </c>
      <c r="AP92" s="80"/>
      <c r="AR92" s="58"/>
    </row>
    <row r="93" spans="1:44" ht="15">
      <c r="A93" s="22"/>
      <c r="B93" s="22"/>
      <c r="C93" s="22"/>
      <c r="D93" s="22"/>
      <c r="E93" s="35"/>
      <c r="F93" s="35"/>
      <c r="G93" s="36"/>
      <c r="H93" s="36"/>
      <c r="I93" s="36"/>
      <c r="J93" s="36"/>
      <c r="K93" s="22"/>
      <c r="L93" s="22"/>
      <c r="M93" s="46"/>
      <c r="N93" s="140"/>
      <c r="O93" s="36"/>
      <c r="P93" s="36"/>
      <c r="Q93" s="37"/>
      <c r="R93" s="38"/>
      <c r="S93" s="108"/>
      <c r="T93" s="33"/>
      <c r="U93" s="33"/>
      <c r="V93" s="109"/>
      <c r="W93" s="38"/>
      <c r="X93" s="34"/>
      <c r="Y93" s="48"/>
      <c r="Z93" s="34"/>
      <c r="AA93" s="34"/>
      <c r="AB93" s="34"/>
      <c r="AC93" s="48"/>
      <c r="AD93" s="34"/>
      <c r="AE93" s="34"/>
      <c r="AG93" s="107"/>
      <c r="AH93" s="82">
        <f t="shared" si="5"/>
        <v>0</v>
      </c>
      <c r="AI93" s="82">
        <f t="shared" si="6"/>
        <v>0</v>
      </c>
      <c r="AJ93" s="22"/>
      <c r="AK93" s="34">
        <f>IF(COUNTIF(Y93:Y$102,0)&lt;&gt;0,0,IF(Y93-Y92=1,COUNTIF(AL$7:AL93,"&lt;&gt;0"),0))</f>
        <v>0</v>
      </c>
      <c r="AL93" s="34">
        <f t="shared" si="7"/>
        <v>0</v>
      </c>
      <c r="AM93" s="80"/>
      <c r="AN93" s="34">
        <f>IF(COUNTIF(AC93:AC$102,0)&lt;&gt;0,0,IF(AC93-AC92=1,COUNTIF(AO$7:AO93,"&lt;&gt;0"),0))</f>
        <v>0</v>
      </c>
      <c r="AO93" s="34">
        <f t="shared" si="8"/>
        <v>0</v>
      </c>
      <c r="AP93" s="80"/>
      <c r="AR93" s="58"/>
    </row>
    <row r="94" spans="1:44" ht="15">
      <c r="A94" s="22"/>
      <c r="B94" s="22"/>
      <c r="C94" s="22"/>
      <c r="D94" s="22"/>
      <c r="E94" s="35"/>
      <c r="F94" s="35"/>
      <c r="G94" s="36"/>
      <c r="H94" s="36"/>
      <c r="I94" s="36"/>
      <c r="J94" s="36"/>
      <c r="K94" s="22"/>
      <c r="L94" s="22"/>
      <c r="M94" s="46"/>
      <c r="N94" s="140"/>
      <c r="O94" s="36"/>
      <c r="P94" s="36"/>
      <c r="Q94" s="37"/>
      <c r="R94" s="38"/>
      <c r="S94" s="108"/>
      <c r="T94" s="33"/>
      <c r="U94" s="33"/>
      <c r="V94" s="109"/>
      <c r="W94" s="38"/>
      <c r="X94" s="34"/>
      <c r="Y94" s="48"/>
      <c r="Z94" s="34"/>
      <c r="AA94" s="34"/>
      <c r="AB94" s="34"/>
      <c r="AC94" s="48"/>
      <c r="AD94" s="34"/>
      <c r="AE94" s="34"/>
      <c r="AG94" s="107"/>
      <c r="AH94" s="82">
        <f t="shared" si="5"/>
        <v>0</v>
      </c>
      <c r="AI94" s="82">
        <f t="shared" si="6"/>
        <v>0</v>
      </c>
      <c r="AJ94" s="22"/>
      <c r="AK94" s="34">
        <f>IF(COUNTIF(Y94:Y$102,0)&lt;&gt;0,0,IF(Y94-Y93=1,COUNTIF(AL$7:AL94,"&lt;&gt;0"),0))</f>
        <v>0</v>
      </c>
      <c r="AL94" s="34">
        <f t="shared" si="7"/>
        <v>0</v>
      </c>
      <c r="AM94" s="80"/>
      <c r="AN94" s="34">
        <f>IF(COUNTIF(AC94:AC$102,0)&lt;&gt;0,0,IF(AC94-AC93=1,COUNTIF(AO$7:AO94,"&lt;&gt;0"),0))</f>
        <v>0</v>
      </c>
      <c r="AO94" s="34">
        <f t="shared" si="8"/>
        <v>0</v>
      </c>
      <c r="AP94" s="80"/>
      <c r="AR94" s="58"/>
    </row>
    <row r="95" spans="1:44" ht="15">
      <c r="A95" s="22"/>
      <c r="B95" s="22"/>
      <c r="C95" s="22"/>
      <c r="D95" s="22"/>
      <c r="E95" s="35"/>
      <c r="F95" s="35"/>
      <c r="G95" s="36"/>
      <c r="H95" s="36"/>
      <c r="I95" s="36"/>
      <c r="J95" s="36"/>
      <c r="K95" s="22"/>
      <c r="L95" s="22"/>
      <c r="M95" s="46"/>
      <c r="N95" s="140"/>
      <c r="O95" s="36"/>
      <c r="P95" s="36"/>
      <c r="Q95" s="37"/>
      <c r="R95" s="38"/>
      <c r="S95" s="108"/>
      <c r="T95" s="33"/>
      <c r="U95" s="33"/>
      <c r="V95" s="109"/>
      <c r="W95" s="38"/>
      <c r="X95" s="34"/>
      <c r="Y95" s="48"/>
      <c r="Z95" s="34"/>
      <c r="AA95" s="34"/>
      <c r="AB95" s="34"/>
      <c r="AC95" s="48"/>
      <c r="AD95" s="34"/>
      <c r="AE95" s="34"/>
      <c r="AG95" s="107"/>
      <c r="AH95" s="82">
        <f t="shared" si="5"/>
        <v>0</v>
      </c>
      <c r="AI95" s="82">
        <f t="shared" si="6"/>
        <v>0</v>
      </c>
      <c r="AJ95" s="22"/>
      <c r="AK95" s="34">
        <f>IF(COUNTIF(Y95:Y$102,0)&lt;&gt;0,0,IF(Y95-Y94=1,COUNTIF(AL$7:AL95,"&lt;&gt;0"),0))</f>
        <v>0</v>
      </c>
      <c r="AL95" s="34">
        <f t="shared" si="7"/>
        <v>0</v>
      </c>
      <c r="AM95" s="80"/>
      <c r="AN95" s="34">
        <f>IF(COUNTIF(AC95:AC$102,0)&lt;&gt;0,0,IF(AC95-AC94=1,COUNTIF(AO$7:AO95,"&lt;&gt;0"),0))</f>
        <v>0</v>
      </c>
      <c r="AO95" s="34">
        <f t="shared" si="8"/>
        <v>0</v>
      </c>
      <c r="AP95" s="80"/>
      <c r="AR95" s="58"/>
    </row>
    <row r="96" spans="1:44" ht="15">
      <c r="A96" s="22"/>
      <c r="B96" s="22"/>
      <c r="C96" s="22"/>
      <c r="D96" s="22"/>
      <c r="E96" s="35"/>
      <c r="F96" s="35"/>
      <c r="G96" s="36"/>
      <c r="H96" s="36"/>
      <c r="I96" s="36"/>
      <c r="J96" s="36"/>
      <c r="K96" s="22"/>
      <c r="L96" s="22"/>
      <c r="M96" s="46"/>
      <c r="N96" s="140"/>
      <c r="O96" s="36"/>
      <c r="P96" s="36"/>
      <c r="Q96" s="37"/>
      <c r="R96" s="38"/>
      <c r="S96" s="108"/>
      <c r="T96" s="33"/>
      <c r="U96" s="33"/>
      <c r="V96" s="109"/>
      <c r="W96" s="38"/>
      <c r="X96" s="34"/>
      <c r="Y96" s="48"/>
      <c r="Z96" s="34"/>
      <c r="AA96" s="34"/>
      <c r="AB96" s="34"/>
      <c r="AC96" s="48"/>
      <c r="AD96" s="34"/>
      <c r="AE96" s="34"/>
      <c r="AG96" s="107"/>
      <c r="AH96" s="82">
        <f t="shared" si="5"/>
        <v>0</v>
      </c>
      <c r="AI96" s="82">
        <f t="shared" si="6"/>
        <v>0</v>
      </c>
      <c r="AJ96" s="22"/>
      <c r="AK96" s="34">
        <f>IF(COUNTIF(Y96:Y$102,0)&lt;&gt;0,0,IF(Y96-Y95=1,COUNTIF(AL$7:AL96,"&lt;&gt;0"),0))</f>
        <v>0</v>
      </c>
      <c r="AL96" s="34">
        <f t="shared" si="7"/>
        <v>0</v>
      </c>
      <c r="AM96" s="80"/>
      <c r="AN96" s="34">
        <f>IF(COUNTIF(AC96:AC$102,0)&lt;&gt;0,0,IF(AC96-AC95=1,COUNTIF(AO$7:AO96,"&lt;&gt;0"),0))</f>
        <v>0</v>
      </c>
      <c r="AO96" s="34">
        <f t="shared" si="8"/>
        <v>0</v>
      </c>
      <c r="AP96" s="80"/>
      <c r="AR96" s="58"/>
    </row>
    <row r="97" spans="1:44" ht="15">
      <c r="A97" s="22"/>
      <c r="B97" s="22"/>
      <c r="C97" s="22"/>
      <c r="D97" s="22"/>
      <c r="E97" s="35"/>
      <c r="F97" s="35"/>
      <c r="G97" s="36"/>
      <c r="H97" s="36"/>
      <c r="I97" s="36"/>
      <c r="J97" s="36"/>
      <c r="K97" s="22"/>
      <c r="L97" s="22"/>
      <c r="M97" s="46"/>
      <c r="N97" s="140"/>
      <c r="O97" s="36"/>
      <c r="P97" s="36"/>
      <c r="Q97" s="37"/>
      <c r="R97" s="38"/>
      <c r="S97" s="108"/>
      <c r="T97" s="33"/>
      <c r="U97" s="33"/>
      <c r="V97" s="109"/>
      <c r="W97" s="38"/>
      <c r="X97" s="34"/>
      <c r="Y97" s="48"/>
      <c r="Z97" s="34"/>
      <c r="AA97" s="34"/>
      <c r="AB97" s="34"/>
      <c r="AC97" s="48"/>
      <c r="AD97" s="34"/>
      <c r="AE97" s="34"/>
      <c r="AG97" s="107"/>
      <c r="AH97" s="82">
        <f t="shared" si="5"/>
        <v>0</v>
      </c>
      <c r="AI97" s="82">
        <f t="shared" si="6"/>
        <v>0</v>
      </c>
      <c r="AJ97" s="22"/>
      <c r="AK97" s="34">
        <f>IF(COUNTIF(Y97:Y$102,0)&lt;&gt;0,0,IF(Y97-Y96=1,COUNTIF(AL$7:AL97,"&lt;&gt;0"),0))</f>
        <v>0</v>
      </c>
      <c r="AL97" s="34">
        <f t="shared" si="7"/>
        <v>0</v>
      </c>
      <c r="AM97" s="80"/>
      <c r="AN97" s="34">
        <f>IF(COUNTIF(AC97:AC$102,0)&lt;&gt;0,0,IF(AC97-AC96=1,COUNTIF(AO$7:AO97,"&lt;&gt;0"),0))</f>
        <v>0</v>
      </c>
      <c r="AO97" s="34">
        <f t="shared" si="8"/>
        <v>0</v>
      </c>
      <c r="AP97" s="80"/>
      <c r="AR97" s="58"/>
    </row>
    <row r="98" spans="1:44" ht="15">
      <c r="A98" s="22"/>
      <c r="B98" s="22"/>
      <c r="C98" s="22"/>
      <c r="D98" s="22"/>
      <c r="E98" s="35"/>
      <c r="F98" s="35"/>
      <c r="G98" s="36"/>
      <c r="H98" s="36"/>
      <c r="I98" s="36"/>
      <c r="J98" s="36"/>
      <c r="K98" s="22"/>
      <c r="L98" s="22"/>
      <c r="M98" s="46"/>
      <c r="N98" s="140"/>
      <c r="O98" s="36"/>
      <c r="P98" s="36"/>
      <c r="Q98" s="37"/>
      <c r="R98" s="38"/>
      <c r="S98" s="108"/>
      <c r="T98" s="33"/>
      <c r="U98" s="33"/>
      <c r="V98" s="109"/>
      <c r="W98" s="38"/>
      <c r="X98" s="34"/>
      <c r="Y98" s="48"/>
      <c r="Z98" s="34"/>
      <c r="AA98" s="34"/>
      <c r="AB98" s="34"/>
      <c r="AC98" s="48"/>
      <c r="AD98" s="34"/>
      <c r="AE98" s="34"/>
      <c r="AG98" s="107"/>
      <c r="AH98" s="82">
        <f t="shared" si="5"/>
        <v>0</v>
      </c>
      <c r="AI98" s="82">
        <f t="shared" si="6"/>
        <v>0</v>
      </c>
      <c r="AJ98" s="22"/>
      <c r="AK98" s="34">
        <f>IF(COUNTIF(Y98:Y$102,0)&lt;&gt;0,0,IF(Y98-Y97=1,COUNTIF(AL$7:AL98,"&lt;&gt;0"),0))</f>
        <v>0</v>
      </c>
      <c r="AL98" s="34">
        <f t="shared" si="7"/>
        <v>0</v>
      </c>
      <c r="AM98" s="80"/>
      <c r="AN98" s="34">
        <f>IF(COUNTIF(AC98:AC$102,0)&lt;&gt;0,0,IF(AC98-AC97=1,COUNTIF(AO$7:AO98,"&lt;&gt;0"),0))</f>
        <v>0</v>
      </c>
      <c r="AO98" s="34">
        <f t="shared" si="8"/>
        <v>0</v>
      </c>
      <c r="AP98" s="80"/>
      <c r="AR98" s="58"/>
    </row>
    <row r="99" spans="1:44" ht="15">
      <c r="A99" s="22"/>
      <c r="B99" s="22"/>
      <c r="C99" s="22"/>
      <c r="D99" s="22"/>
      <c r="E99" s="35"/>
      <c r="F99" s="35"/>
      <c r="G99" s="36"/>
      <c r="H99" s="36"/>
      <c r="I99" s="36"/>
      <c r="J99" s="36"/>
      <c r="K99" s="22"/>
      <c r="L99" s="22"/>
      <c r="M99" s="46"/>
      <c r="N99" s="140"/>
      <c r="O99" s="36"/>
      <c r="P99" s="36"/>
      <c r="Q99" s="37"/>
      <c r="R99" s="38"/>
      <c r="S99" s="108"/>
      <c r="T99" s="33"/>
      <c r="U99" s="33"/>
      <c r="V99" s="109"/>
      <c r="W99" s="38"/>
      <c r="X99" s="34"/>
      <c r="Y99" s="48"/>
      <c r="Z99" s="34"/>
      <c r="AA99" s="34"/>
      <c r="AB99" s="34"/>
      <c r="AC99" s="48"/>
      <c r="AD99" s="34"/>
      <c r="AE99" s="34"/>
      <c r="AG99" s="107"/>
      <c r="AH99" s="82">
        <f t="shared" si="5"/>
        <v>0</v>
      </c>
      <c r="AI99" s="82">
        <f t="shared" si="6"/>
        <v>0</v>
      </c>
      <c r="AJ99" s="22"/>
      <c r="AK99" s="34">
        <f>IF(COUNTIF(Y99:Y$102,0)&lt;&gt;0,0,IF(Y99-Y98=1,COUNTIF(AL$7:AL99,"&lt;&gt;0"),0))</f>
        <v>0</v>
      </c>
      <c r="AL99" s="34">
        <f t="shared" si="7"/>
        <v>0</v>
      </c>
      <c r="AM99" s="80"/>
      <c r="AN99" s="34">
        <f>IF(COUNTIF(AC99:AC$102,0)&lt;&gt;0,0,IF(AC99-AC98=1,COUNTIF(AO$7:AO99,"&lt;&gt;0"),0))</f>
        <v>0</v>
      </c>
      <c r="AO99" s="34">
        <f t="shared" si="8"/>
        <v>0</v>
      </c>
      <c r="AP99" s="80"/>
      <c r="AR99" s="58"/>
    </row>
    <row r="100" spans="1:44" ht="15">
      <c r="A100" s="22"/>
      <c r="B100" s="22"/>
      <c r="C100" s="22"/>
      <c r="D100" s="22"/>
      <c r="E100" s="35"/>
      <c r="F100" s="35"/>
      <c r="G100" s="36"/>
      <c r="H100" s="36"/>
      <c r="I100" s="36"/>
      <c r="J100" s="36"/>
      <c r="K100" s="22"/>
      <c r="L100" s="22"/>
      <c r="M100" s="46"/>
      <c r="N100" s="140"/>
      <c r="O100" s="36"/>
      <c r="P100" s="36"/>
      <c r="Q100" s="37"/>
      <c r="R100" s="38"/>
      <c r="S100" s="108"/>
      <c r="T100" s="33"/>
      <c r="U100" s="33"/>
      <c r="V100" s="109"/>
      <c r="W100" s="38"/>
      <c r="X100" s="34"/>
      <c r="Y100" s="48"/>
      <c r="Z100" s="34"/>
      <c r="AA100" s="34"/>
      <c r="AB100" s="34"/>
      <c r="AC100" s="48"/>
      <c r="AD100" s="34"/>
      <c r="AE100" s="34"/>
      <c r="AG100" s="107"/>
      <c r="AH100" s="82">
        <f t="shared" si="5"/>
        <v>0</v>
      </c>
      <c r="AI100" s="82">
        <f t="shared" si="6"/>
        <v>0</v>
      </c>
      <c r="AJ100" s="22"/>
      <c r="AK100" s="34">
        <f>IF(COUNTIF(Y100:Y$102,0)&lt;&gt;0,0,IF(Y100-Y99=1,COUNTIF(AL$7:AL100,"&lt;&gt;0"),0))</f>
        <v>0</v>
      </c>
      <c r="AL100" s="34">
        <f t="shared" si="7"/>
        <v>0</v>
      </c>
      <c r="AM100" s="80"/>
      <c r="AN100" s="34">
        <f>IF(COUNTIF(AC100:AC$102,0)&lt;&gt;0,0,IF(AC100-AC99=1,COUNTIF(AO$7:AO100,"&lt;&gt;0"),0))</f>
        <v>0</v>
      </c>
      <c r="AO100" s="34">
        <f t="shared" si="8"/>
        <v>0</v>
      </c>
      <c r="AP100" s="80"/>
      <c r="AR100" s="58"/>
    </row>
    <row r="101" spans="1:44" ht="15">
      <c r="A101" s="22"/>
      <c r="B101" s="22"/>
      <c r="C101" s="22"/>
      <c r="D101" s="22"/>
      <c r="E101" s="35"/>
      <c r="F101" s="35"/>
      <c r="G101" s="36"/>
      <c r="H101" s="36"/>
      <c r="I101" s="36"/>
      <c r="J101" s="36"/>
      <c r="K101" s="22"/>
      <c r="L101" s="22"/>
      <c r="M101" s="46"/>
      <c r="N101" s="140"/>
      <c r="O101" s="36"/>
      <c r="P101" s="36"/>
      <c r="Q101" s="37"/>
      <c r="R101" s="38"/>
      <c r="S101" s="108"/>
      <c r="T101" s="33"/>
      <c r="U101" s="33"/>
      <c r="V101" s="109"/>
      <c r="W101" s="38"/>
      <c r="X101" s="34"/>
      <c r="Y101" s="48"/>
      <c r="Z101" s="34"/>
      <c r="AA101" s="34"/>
      <c r="AB101" s="34"/>
      <c r="AC101" s="48"/>
      <c r="AD101" s="34"/>
      <c r="AE101" s="34"/>
      <c r="AG101" s="107"/>
      <c r="AH101" s="82">
        <f t="shared" si="5"/>
        <v>0</v>
      </c>
      <c r="AI101" s="82">
        <f t="shared" si="6"/>
        <v>0</v>
      </c>
      <c r="AJ101" s="22"/>
      <c r="AK101" s="34">
        <f>IF(COUNTIF(Y101:Y$102,0)&lt;&gt;0,0,IF(Y101-Y100=1,COUNTIF(AL$7:AL101,"&lt;&gt;0"),0))</f>
        <v>0</v>
      </c>
      <c r="AL101" s="34">
        <f t="shared" si="7"/>
        <v>0</v>
      </c>
      <c r="AM101" s="80"/>
      <c r="AN101" s="34">
        <f>IF(COUNTIF(AC101:AC$102,0)&lt;&gt;0,0,IF(AC101-AC100=1,COUNTIF(AO$7:AO101,"&lt;&gt;0"),0))</f>
        <v>0</v>
      </c>
      <c r="AO101" s="34">
        <f t="shared" si="8"/>
        <v>0</v>
      </c>
      <c r="AP101" s="80"/>
      <c r="AR101" s="58"/>
    </row>
    <row r="102" spans="1:44" ht="15">
      <c r="A102" s="22"/>
      <c r="B102" s="22"/>
      <c r="C102" s="22"/>
      <c r="D102" s="22"/>
      <c r="E102" s="35"/>
      <c r="F102" s="35"/>
      <c r="G102" s="36"/>
      <c r="H102" s="36"/>
      <c r="I102" s="36"/>
      <c r="J102" s="36"/>
      <c r="K102" s="22"/>
      <c r="L102" s="22"/>
      <c r="M102" s="46"/>
      <c r="N102" s="140"/>
      <c r="O102" s="36"/>
      <c r="P102" s="36"/>
      <c r="Q102" s="37"/>
      <c r="R102" s="38"/>
      <c r="S102" s="108"/>
      <c r="T102" s="33"/>
      <c r="U102" s="33"/>
      <c r="V102" s="109"/>
      <c r="W102" s="38"/>
      <c r="X102" s="34"/>
      <c r="Y102" s="48"/>
      <c r="Z102" s="34"/>
      <c r="AA102" s="34"/>
      <c r="AB102" s="34"/>
      <c r="AC102" s="48"/>
      <c r="AD102" s="34"/>
      <c r="AE102" s="34"/>
      <c r="AG102" s="107"/>
      <c r="AH102" s="82">
        <f t="shared" si="5"/>
        <v>0</v>
      </c>
      <c r="AI102" s="82">
        <f t="shared" si="6"/>
        <v>0</v>
      </c>
      <c r="AJ102" s="22"/>
      <c r="AK102" s="34">
        <f>IF(COUNTIF(Y102:Y$102,0)&lt;&gt;0,0,IF(Y102-Y101=1,COUNTIF(AL$7:AL102,"&lt;&gt;0"),0))</f>
        <v>0</v>
      </c>
      <c r="AL102" s="34">
        <f t="shared" si="7"/>
        <v>0</v>
      </c>
      <c r="AM102" s="80"/>
      <c r="AN102" s="34">
        <f>IF(COUNTIF(AC102:AC$102,0)&lt;&gt;0,0,IF(AC102-AC101=1,COUNTIF(AO$7:AO102,"&lt;&gt;0"),0))</f>
        <v>0</v>
      </c>
      <c r="AO102" s="34">
        <f t="shared" si="8"/>
        <v>0</v>
      </c>
      <c r="AP102" s="80"/>
      <c r="AR102" s="58"/>
    </row>
    <row r="103" spans="1:44" ht="15">
      <c r="A103" s="22"/>
      <c r="B103" s="22"/>
      <c r="C103" s="22"/>
      <c r="D103" s="22"/>
      <c r="E103" s="35"/>
      <c r="F103" s="35"/>
      <c r="G103" s="36"/>
      <c r="H103" s="36"/>
      <c r="I103" s="36"/>
      <c r="J103" s="36"/>
      <c r="K103" s="22"/>
      <c r="L103" s="143" t="s">
        <v>83</v>
      </c>
      <c r="M103" s="46"/>
      <c r="N103" s="140"/>
      <c r="O103" s="49"/>
      <c r="P103" s="49"/>
      <c r="Q103" s="37"/>
      <c r="R103" s="38"/>
      <c r="S103" s="82"/>
      <c r="T103" s="33"/>
      <c r="U103" s="33"/>
      <c r="V103" s="109"/>
      <c r="W103" s="38"/>
      <c r="X103" s="34"/>
      <c r="Y103" s="48"/>
      <c r="Z103" s="34"/>
      <c r="AA103" s="34"/>
      <c r="AB103" s="34"/>
      <c r="AC103" s="48"/>
      <c r="AD103" s="34"/>
      <c r="AE103" s="34"/>
      <c r="AG103" s="107"/>
      <c r="AH103" s="82">
        <f t="shared" si="5"/>
        <v>0</v>
      </c>
      <c r="AI103" s="82">
        <f t="shared" si="6"/>
        <v>0</v>
      </c>
      <c r="AJ103" s="22"/>
      <c r="AK103" s="34"/>
      <c r="AL103" s="34"/>
      <c r="AM103" s="80"/>
      <c r="AN103" s="34"/>
      <c r="AO103" s="34"/>
      <c r="AP103" s="80"/>
      <c r="AR103" s="58"/>
    </row>
    <row r="104" spans="1:44">
      <c r="N104" s="22"/>
      <c r="AG104" s="107"/>
      <c r="AH104" s="82">
        <f t="shared" si="5"/>
        <v>0</v>
      </c>
      <c r="AI104" s="82">
        <f t="shared" si="6"/>
        <v>0</v>
      </c>
      <c r="AR104" s="58"/>
    </row>
    <row r="105" spans="1:44">
      <c r="N105" s="22"/>
      <c r="AG105" s="107"/>
      <c r="AH105" s="82">
        <f t="shared" si="5"/>
        <v>0</v>
      </c>
      <c r="AI105" s="82">
        <f t="shared" si="6"/>
        <v>0</v>
      </c>
    </row>
    <row r="106" spans="1:44">
      <c r="N106" s="22"/>
      <c r="AG106" s="107"/>
      <c r="AH106" s="82">
        <f t="shared" si="5"/>
        <v>0</v>
      </c>
      <c r="AI106" s="82">
        <f t="shared" si="6"/>
        <v>0</v>
      </c>
    </row>
    <row r="107" spans="1:44">
      <c r="N107" s="22"/>
      <c r="AG107" s="107"/>
      <c r="AH107" s="82">
        <f t="shared" si="5"/>
        <v>0</v>
      </c>
      <c r="AI107" s="82">
        <f t="shared" si="6"/>
        <v>0</v>
      </c>
    </row>
    <row r="108" spans="1:44">
      <c r="N108" s="22"/>
      <c r="AG108" s="107"/>
      <c r="AH108" s="82">
        <f t="shared" si="5"/>
        <v>0</v>
      </c>
      <c r="AI108" s="82">
        <f t="shared" si="6"/>
        <v>0</v>
      </c>
    </row>
    <row r="109" spans="1:44">
      <c r="N109" s="22"/>
      <c r="AG109" s="107"/>
      <c r="AH109" s="82">
        <f t="shared" si="5"/>
        <v>0</v>
      </c>
      <c r="AI109" s="82">
        <f t="shared" si="6"/>
        <v>0</v>
      </c>
    </row>
    <row r="110" spans="1:44">
      <c r="N110" s="22"/>
      <c r="AG110" s="107"/>
      <c r="AH110" s="82">
        <f t="shared" si="5"/>
        <v>0</v>
      </c>
      <c r="AI110" s="82">
        <f t="shared" si="6"/>
        <v>0</v>
      </c>
    </row>
    <row r="111" spans="1:44">
      <c r="N111" s="22"/>
      <c r="AG111" s="107"/>
      <c r="AH111" s="82">
        <f t="shared" si="5"/>
        <v>0</v>
      </c>
      <c r="AI111" s="82">
        <f t="shared" si="6"/>
        <v>0</v>
      </c>
    </row>
    <row r="112" spans="1:44">
      <c r="N112" s="22"/>
      <c r="AG112" s="107"/>
      <c r="AH112" s="82">
        <f t="shared" si="5"/>
        <v>0</v>
      </c>
      <c r="AI112" s="82">
        <f t="shared" si="6"/>
        <v>0</v>
      </c>
    </row>
    <row r="113" spans="33:35">
      <c r="AG113" s="107"/>
      <c r="AH113" s="82">
        <f t="shared" si="5"/>
        <v>0</v>
      </c>
      <c r="AI113" s="82">
        <f t="shared" si="6"/>
        <v>0</v>
      </c>
    </row>
    <row r="114" spans="33:35">
      <c r="AG114" s="107"/>
      <c r="AH114" s="82">
        <f t="shared" si="5"/>
        <v>0</v>
      </c>
      <c r="AI114" s="82">
        <f t="shared" si="6"/>
        <v>0</v>
      </c>
    </row>
    <row r="115" spans="33:35">
      <c r="AG115" s="107"/>
      <c r="AH115" s="82">
        <f t="shared" si="5"/>
        <v>0</v>
      </c>
      <c r="AI115" s="82">
        <f t="shared" si="6"/>
        <v>0</v>
      </c>
    </row>
    <row r="116" spans="33:35">
      <c r="AG116" s="107"/>
      <c r="AH116" s="82">
        <f t="shared" si="5"/>
        <v>0</v>
      </c>
      <c r="AI116" s="82">
        <f t="shared" si="6"/>
        <v>0</v>
      </c>
    </row>
    <row r="117" spans="33:35">
      <c r="AG117" s="107"/>
      <c r="AH117" s="82">
        <f t="shared" si="5"/>
        <v>0</v>
      </c>
      <c r="AI117" s="82">
        <f t="shared" si="6"/>
        <v>0</v>
      </c>
    </row>
    <row r="118" spans="33:35">
      <c r="AG118" s="107"/>
      <c r="AH118" s="82">
        <f t="shared" si="5"/>
        <v>0</v>
      </c>
      <c r="AI118" s="82">
        <f t="shared" si="6"/>
        <v>0</v>
      </c>
    </row>
    <row r="119" spans="33:35">
      <c r="AG119" s="107"/>
      <c r="AH119" s="82">
        <f t="shared" si="5"/>
        <v>0</v>
      </c>
      <c r="AI119" s="82">
        <f t="shared" si="6"/>
        <v>0</v>
      </c>
    </row>
    <row r="120" spans="33:35">
      <c r="AG120" s="107"/>
      <c r="AH120" s="82">
        <f t="shared" si="5"/>
        <v>0</v>
      </c>
      <c r="AI120" s="82">
        <f t="shared" si="6"/>
        <v>0</v>
      </c>
    </row>
    <row r="121" spans="33:35">
      <c r="AG121" s="107"/>
      <c r="AH121" s="82">
        <f t="shared" si="5"/>
        <v>0</v>
      </c>
      <c r="AI121" s="82">
        <f t="shared" si="6"/>
        <v>0</v>
      </c>
    </row>
    <row r="122" spans="33:35">
      <c r="AG122" s="107"/>
      <c r="AH122" s="82">
        <f t="shared" si="5"/>
        <v>0</v>
      </c>
      <c r="AI122" s="82">
        <f t="shared" si="6"/>
        <v>0</v>
      </c>
    </row>
    <row r="123" spans="33:35">
      <c r="AG123" s="107"/>
      <c r="AH123" s="82">
        <f t="shared" si="5"/>
        <v>0</v>
      </c>
      <c r="AI123" s="82">
        <f t="shared" si="6"/>
        <v>0</v>
      </c>
    </row>
    <row r="124" spans="33:35">
      <c r="AG124" s="107"/>
      <c r="AH124" s="82">
        <f t="shared" si="5"/>
        <v>0</v>
      </c>
      <c r="AI124" s="82">
        <f t="shared" si="6"/>
        <v>0</v>
      </c>
    </row>
    <row r="125" spans="33:35">
      <c r="AG125" s="107"/>
      <c r="AH125" s="82">
        <f t="shared" si="5"/>
        <v>0</v>
      </c>
      <c r="AI125" s="82">
        <f t="shared" si="6"/>
        <v>0</v>
      </c>
    </row>
    <row r="126" spans="33:35">
      <c r="AG126" s="107"/>
      <c r="AH126" s="82">
        <f t="shared" si="5"/>
        <v>0</v>
      </c>
      <c r="AI126" s="82">
        <f t="shared" si="6"/>
        <v>0</v>
      </c>
    </row>
    <row r="127" spans="33:35">
      <c r="AG127" s="107"/>
      <c r="AH127" s="82">
        <f t="shared" si="5"/>
        <v>0</v>
      </c>
      <c r="AI127" s="82">
        <f t="shared" si="6"/>
        <v>0</v>
      </c>
    </row>
    <row r="128" spans="33:35">
      <c r="AG128" s="107"/>
      <c r="AH128" s="82">
        <f t="shared" si="5"/>
        <v>0</v>
      </c>
      <c r="AI128" s="82">
        <f t="shared" si="6"/>
        <v>0</v>
      </c>
    </row>
    <row r="129" spans="33:35">
      <c r="AG129" s="107"/>
      <c r="AH129" s="82">
        <f t="shared" si="5"/>
        <v>0</v>
      </c>
      <c r="AI129" s="82">
        <f t="shared" si="6"/>
        <v>0</v>
      </c>
    </row>
    <row r="130" spans="33:35">
      <c r="AG130" s="107"/>
      <c r="AH130" s="82">
        <f t="shared" si="5"/>
        <v>0</v>
      </c>
      <c r="AI130" s="82">
        <f t="shared" si="6"/>
        <v>0</v>
      </c>
    </row>
    <row r="131" spans="33:35">
      <c r="AG131" s="107"/>
      <c r="AH131" s="82">
        <f t="shared" si="5"/>
        <v>0</v>
      </c>
      <c r="AI131" s="82">
        <f t="shared" si="6"/>
        <v>0</v>
      </c>
    </row>
    <row r="132" spans="33:35">
      <c r="AG132" s="107"/>
      <c r="AH132" s="82">
        <f t="shared" si="5"/>
        <v>0</v>
      </c>
      <c r="AI132" s="82">
        <f t="shared" si="6"/>
        <v>0</v>
      </c>
    </row>
    <row r="133" spans="33:35">
      <c r="AG133" s="107"/>
      <c r="AH133" s="82">
        <f t="shared" si="5"/>
        <v>0</v>
      </c>
      <c r="AI133" s="82">
        <f t="shared" si="6"/>
        <v>0</v>
      </c>
    </row>
    <row r="134" spans="33:35">
      <c r="AG134" s="107"/>
      <c r="AH134" s="82">
        <f t="shared" si="5"/>
        <v>0</v>
      </c>
      <c r="AI134" s="82">
        <f t="shared" si="6"/>
        <v>0</v>
      </c>
    </row>
    <row r="135" spans="33:35">
      <c r="AG135" s="107"/>
      <c r="AH135" s="82">
        <f t="shared" si="5"/>
        <v>0</v>
      </c>
      <c r="AI135" s="82">
        <f t="shared" si="6"/>
        <v>0</v>
      </c>
    </row>
    <row r="136" spans="33:35">
      <c r="AG136" s="107"/>
      <c r="AH136" s="82">
        <f t="shared" ref="AH136:AH199" si="9">IF(Y136=0,0,IF(Y136-Y135=1,AH135+$N136,AH135))</f>
        <v>0</v>
      </c>
      <c r="AI136" s="82">
        <f t="shared" ref="AI136:AI199" si="10">IF(AC136=0,0,IF(AC136-AC135=1,AI135-$N136,AI135))</f>
        <v>0</v>
      </c>
    </row>
    <row r="137" spans="33:35">
      <c r="AG137" s="107"/>
      <c r="AH137" s="82">
        <f t="shared" si="9"/>
        <v>0</v>
      </c>
      <c r="AI137" s="82">
        <f t="shared" si="10"/>
        <v>0</v>
      </c>
    </row>
    <row r="138" spans="33:35">
      <c r="AG138" s="107"/>
      <c r="AH138" s="82">
        <f t="shared" si="9"/>
        <v>0</v>
      </c>
      <c r="AI138" s="82">
        <f t="shared" si="10"/>
        <v>0</v>
      </c>
    </row>
    <row r="139" spans="33:35">
      <c r="AG139" s="107"/>
      <c r="AH139" s="82">
        <f t="shared" si="9"/>
        <v>0</v>
      </c>
      <c r="AI139" s="82">
        <f t="shared" si="10"/>
        <v>0</v>
      </c>
    </row>
    <row r="140" spans="33:35">
      <c r="AG140" s="107"/>
      <c r="AH140" s="82">
        <f t="shared" si="9"/>
        <v>0</v>
      </c>
      <c r="AI140" s="82">
        <f t="shared" si="10"/>
        <v>0</v>
      </c>
    </row>
    <row r="141" spans="33:35">
      <c r="AG141" s="107"/>
      <c r="AH141" s="82">
        <f t="shared" si="9"/>
        <v>0</v>
      </c>
      <c r="AI141" s="82">
        <f t="shared" si="10"/>
        <v>0</v>
      </c>
    </row>
    <row r="142" spans="33:35">
      <c r="AG142" s="107"/>
      <c r="AH142" s="82">
        <f t="shared" si="9"/>
        <v>0</v>
      </c>
      <c r="AI142" s="82">
        <f t="shared" si="10"/>
        <v>0</v>
      </c>
    </row>
    <row r="143" spans="33:35">
      <c r="AG143" s="107"/>
      <c r="AH143" s="82">
        <f t="shared" si="9"/>
        <v>0</v>
      </c>
      <c r="AI143" s="82">
        <f t="shared" si="10"/>
        <v>0</v>
      </c>
    </row>
    <row r="144" spans="33:35">
      <c r="AG144" s="107"/>
      <c r="AH144" s="82">
        <f t="shared" si="9"/>
        <v>0</v>
      </c>
      <c r="AI144" s="82">
        <f t="shared" si="10"/>
        <v>0</v>
      </c>
    </row>
    <row r="145" spans="33:35">
      <c r="AG145" s="107"/>
      <c r="AH145" s="82">
        <f t="shared" si="9"/>
        <v>0</v>
      </c>
      <c r="AI145" s="82">
        <f t="shared" si="10"/>
        <v>0</v>
      </c>
    </row>
    <row r="146" spans="33:35">
      <c r="AG146" s="107"/>
      <c r="AH146" s="82">
        <f t="shared" si="9"/>
        <v>0</v>
      </c>
      <c r="AI146" s="82">
        <f t="shared" si="10"/>
        <v>0</v>
      </c>
    </row>
    <row r="147" spans="33:35">
      <c r="AG147" s="107"/>
      <c r="AH147" s="82">
        <f t="shared" si="9"/>
        <v>0</v>
      </c>
      <c r="AI147" s="82">
        <f t="shared" si="10"/>
        <v>0</v>
      </c>
    </row>
    <row r="148" spans="33:35">
      <c r="AG148" s="107"/>
      <c r="AH148" s="82">
        <f t="shared" si="9"/>
        <v>0</v>
      </c>
      <c r="AI148" s="82">
        <f t="shared" si="10"/>
        <v>0</v>
      </c>
    </row>
    <row r="149" spans="33:35">
      <c r="AG149" s="107"/>
      <c r="AH149" s="82">
        <f t="shared" si="9"/>
        <v>0</v>
      </c>
      <c r="AI149" s="82">
        <f t="shared" si="10"/>
        <v>0</v>
      </c>
    </row>
    <row r="150" spans="33:35">
      <c r="AG150" s="107"/>
      <c r="AH150" s="82">
        <f t="shared" si="9"/>
        <v>0</v>
      </c>
      <c r="AI150" s="82">
        <f t="shared" si="10"/>
        <v>0</v>
      </c>
    </row>
    <row r="151" spans="33:35">
      <c r="AG151" s="107"/>
      <c r="AH151" s="82">
        <f t="shared" si="9"/>
        <v>0</v>
      </c>
      <c r="AI151" s="82">
        <f t="shared" si="10"/>
        <v>0</v>
      </c>
    </row>
    <row r="152" spans="33:35">
      <c r="AG152" s="107"/>
      <c r="AH152" s="82">
        <f t="shared" si="9"/>
        <v>0</v>
      </c>
      <c r="AI152" s="82">
        <f t="shared" si="10"/>
        <v>0</v>
      </c>
    </row>
    <row r="153" spans="33:35">
      <c r="AG153" s="107"/>
      <c r="AH153" s="82">
        <f t="shared" si="9"/>
        <v>0</v>
      </c>
      <c r="AI153" s="82">
        <f t="shared" si="10"/>
        <v>0</v>
      </c>
    </row>
    <row r="154" spans="33:35">
      <c r="AG154" s="107"/>
      <c r="AH154" s="82">
        <f t="shared" si="9"/>
        <v>0</v>
      </c>
      <c r="AI154" s="82">
        <f t="shared" si="10"/>
        <v>0</v>
      </c>
    </row>
    <row r="155" spans="33:35">
      <c r="AG155" s="107"/>
      <c r="AH155" s="82">
        <f t="shared" si="9"/>
        <v>0</v>
      </c>
      <c r="AI155" s="82">
        <f t="shared" si="10"/>
        <v>0</v>
      </c>
    </row>
    <row r="156" spans="33:35">
      <c r="AG156" s="107"/>
      <c r="AH156" s="82">
        <f t="shared" si="9"/>
        <v>0</v>
      </c>
      <c r="AI156" s="82">
        <f t="shared" si="10"/>
        <v>0</v>
      </c>
    </row>
    <row r="157" spans="33:35">
      <c r="AG157" s="107"/>
      <c r="AH157" s="82">
        <f t="shared" si="9"/>
        <v>0</v>
      </c>
      <c r="AI157" s="82">
        <f t="shared" si="10"/>
        <v>0</v>
      </c>
    </row>
    <row r="158" spans="33:35">
      <c r="AG158" s="107"/>
      <c r="AH158" s="82">
        <f t="shared" si="9"/>
        <v>0</v>
      </c>
      <c r="AI158" s="82">
        <f t="shared" si="10"/>
        <v>0</v>
      </c>
    </row>
    <row r="159" spans="33:35">
      <c r="AG159" s="107"/>
      <c r="AH159" s="82">
        <f t="shared" si="9"/>
        <v>0</v>
      </c>
      <c r="AI159" s="82">
        <f t="shared" si="10"/>
        <v>0</v>
      </c>
    </row>
    <row r="160" spans="33:35">
      <c r="AG160" s="107"/>
      <c r="AH160" s="82">
        <f t="shared" si="9"/>
        <v>0</v>
      </c>
      <c r="AI160" s="82">
        <f t="shared" si="10"/>
        <v>0</v>
      </c>
    </row>
    <row r="161" spans="33:35">
      <c r="AG161" s="107"/>
      <c r="AH161" s="82">
        <f t="shared" si="9"/>
        <v>0</v>
      </c>
      <c r="AI161" s="82">
        <f t="shared" si="10"/>
        <v>0</v>
      </c>
    </row>
    <row r="162" spans="33:35">
      <c r="AG162" s="107"/>
      <c r="AH162" s="82">
        <f t="shared" si="9"/>
        <v>0</v>
      </c>
      <c r="AI162" s="82">
        <f t="shared" si="10"/>
        <v>0</v>
      </c>
    </row>
    <row r="163" spans="33:35">
      <c r="AG163" s="107"/>
      <c r="AH163" s="82">
        <f t="shared" si="9"/>
        <v>0</v>
      </c>
      <c r="AI163" s="82">
        <f t="shared" si="10"/>
        <v>0</v>
      </c>
    </row>
    <row r="164" spans="33:35">
      <c r="AG164" s="107"/>
      <c r="AH164" s="82">
        <f t="shared" si="9"/>
        <v>0</v>
      </c>
      <c r="AI164" s="82">
        <f t="shared" si="10"/>
        <v>0</v>
      </c>
    </row>
    <row r="165" spans="33:35">
      <c r="AG165" s="107"/>
      <c r="AH165" s="82">
        <f t="shared" si="9"/>
        <v>0</v>
      </c>
      <c r="AI165" s="82">
        <f t="shared" si="10"/>
        <v>0</v>
      </c>
    </row>
    <row r="166" spans="33:35">
      <c r="AG166" s="107"/>
      <c r="AH166" s="82">
        <f t="shared" si="9"/>
        <v>0</v>
      </c>
      <c r="AI166" s="82">
        <f t="shared" si="10"/>
        <v>0</v>
      </c>
    </row>
    <row r="167" spans="33:35">
      <c r="AG167" s="107"/>
      <c r="AH167" s="82">
        <f t="shared" si="9"/>
        <v>0</v>
      </c>
      <c r="AI167" s="82">
        <f t="shared" si="10"/>
        <v>0</v>
      </c>
    </row>
    <row r="168" spans="33:35">
      <c r="AG168" s="107"/>
      <c r="AH168" s="82">
        <f t="shared" si="9"/>
        <v>0</v>
      </c>
      <c r="AI168" s="82">
        <f t="shared" si="10"/>
        <v>0</v>
      </c>
    </row>
    <row r="169" spans="33:35">
      <c r="AG169" s="107"/>
      <c r="AH169" s="82">
        <f t="shared" si="9"/>
        <v>0</v>
      </c>
      <c r="AI169" s="82">
        <f t="shared" si="10"/>
        <v>0</v>
      </c>
    </row>
    <row r="170" spans="33:35">
      <c r="AG170" s="107"/>
      <c r="AH170" s="82">
        <f t="shared" si="9"/>
        <v>0</v>
      </c>
      <c r="AI170" s="82">
        <f t="shared" si="10"/>
        <v>0</v>
      </c>
    </row>
    <row r="171" spans="33:35">
      <c r="AG171" s="107"/>
      <c r="AH171" s="82">
        <f t="shared" si="9"/>
        <v>0</v>
      </c>
      <c r="AI171" s="82">
        <f t="shared" si="10"/>
        <v>0</v>
      </c>
    </row>
    <row r="172" spans="33:35">
      <c r="AG172" s="107"/>
      <c r="AH172" s="82">
        <f t="shared" si="9"/>
        <v>0</v>
      </c>
      <c r="AI172" s="82">
        <f t="shared" si="10"/>
        <v>0</v>
      </c>
    </row>
    <row r="173" spans="33:35">
      <c r="AG173" s="107"/>
      <c r="AH173" s="82">
        <f t="shared" si="9"/>
        <v>0</v>
      </c>
      <c r="AI173" s="82">
        <f t="shared" si="10"/>
        <v>0</v>
      </c>
    </row>
    <row r="174" spans="33:35">
      <c r="AG174" s="107"/>
      <c r="AH174" s="82">
        <f t="shared" si="9"/>
        <v>0</v>
      </c>
      <c r="AI174" s="82">
        <f t="shared" si="10"/>
        <v>0</v>
      </c>
    </row>
    <row r="175" spans="33:35">
      <c r="AG175" s="107"/>
      <c r="AH175" s="82">
        <f t="shared" si="9"/>
        <v>0</v>
      </c>
      <c r="AI175" s="82">
        <f t="shared" si="10"/>
        <v>0</v>
      </c>
    </row>
    <row r="176" spans="33:35">
      <c r="AG176" s="107"/>
      <c r="AH176" s="82">
        <f t="shared" si="9"/>
        <v>0</v>
      </c>
      <c r="AI176" s="82">
        <f t="shared" si="10"/>
        <v>0</v>
      </c>
    </row>
    <row r="177" spans="33:35">
      <c r="AG177" s="107"/>
      <c r="AH177" s="82">
        <f t="shared" si="9"/>
        <v>0</v>
      </c>
      <c r="AI177" s="82">
        <f t="shared" si="10"/>
        <v>0</v>
      </c>
    </row>
    <row r="178" spans="33:35">
      <c r="AG178" s="107"/>
      <c r="AH178" s="82">
        <f t="shared" si="9"/>
        <v>0</v>
      </c>
      <c r="AI178" s="82">
        <f t="shared" si="10"/>
        <v>0</v>
      </c>
    </row>
    <row r="179" spans="33:35">
      <c r="AG179" s="107"/>
      <c r="AH179" s="82">
        <f t="shared" si="9"/>
        <v>0</v>
      </c>
      <c r="AI179" s="82">
        <f t="shared" si="10"/>
        <v>0</v>
      </c>
    </row>
    <row r="180" spans="33:35">
      <c r="AG180" s="107"/>
      <c r="AH180" s="82">
        <f t="shared" si="9"/>
        <v>0</v>
      </c>
      <c r="AI180" s="82">
        <f t="shared" si="10"/>
        <v>0</v>
      </c>
    </row>
    <row r="181" spans="33:35">
      <c r="AG181" s="107"/>
      <c r="AH181" s="82">
        <f t="shared" si="9"/>
        <v>0</v>
      </c>
      <c r="AI181" s="82">
        <f t="shared" si="10"/>
        <v>0</v>
      </c>
    </row>
    <row r="182" spans="33:35">
      <c r="AG182" s="107"/>
      <c r="AH182" s="82">
        <f t="shared" si="9"/>
        <v>0</v>
      </c>
      <c r="AI182" s="82">
        <f t="shared" si="10"/>
        <v>0</v>
      </c>
    </row>
    <row r="183" spans="33:35">
      <c r="AG183" s="107"/>
      <c r="AH183" s="82">
        <f t="shared" si="9"/>
        <v>0</v>
      </c>
      <c r="AI183" s="82">
        <f t="shared" si="10"/>
        <v>0</v>
      </c>
    </row>
    <row r="184" spans="33:35">
      <c r="AG184" s="107"/>
      <c r="AH184" s="82">
        <f t="shared" si="9"/>
        <v>0</v>
      </c>
      <c r="AI184" s="82">
        <f t="shared" si="10"/>
        <v>0</v>
      </c>
    </row>
    <row r="185" spans="33:35">
      <c r="AG185" s="107"/>
      <c r="AH185" s="82">
        <f t="shared" si="9"/>
        <v>0</v>
      </c>
      <c r="AI185" s="82">
        <f t="shared" si="10"/>
        <v>0</v>
      </c>
    </row>
    <row r="186" spans="33:35">
      <c r="AG186" s="107"/>
      <c r="AH186" s="82">
        <f t="shared" si="9"/>
        <v>0</v>
      </c>
      <c r="AI186" s="82">
        <f t="shared" si="10"/>
        <v>0</v>
      </c>
    </row>
    <row r="187" spans="33:35">
      <c r="AG187" s="107"/>
      <c r="AH187" s="82">
        <f t="shared" si="9"/>
        <v>0</v>
      </c>
      <c r="AI187" s="82">
        <f t="shared" si="10"/>
        <v>0</v>
      </c>
    </row>
    <row r="188" spans="33:35">
      <c r="AG188" s="107"/>
      <c r="AH188" s="82">
        <f t="shared" si="9"/>
        <v>0</v>
      </c>
      <c r="AI188" s="82">
        <f t="shared" si="10"/>
        <v>0</v>
      </c>
    </row>
    <row r="189" spans="33:35">
      <c r="AG189" s="107"/>
      <c r="AH189" s="82">
        <f t="shared" si="9"/>
        <v>0</v>
      </c>
      <c r="AI189" s="82">
        <f t="shared" si="10"/>
        <v>0</v>
      </c>
    </row>
    <row r="190" spans="33:35">
      <c r="AG190" s="107"/>
      <c r="AH190" s="82">
        <f t="shared" si="9"/>
        <v>0</v>
      </c>
      <c r="AI190" s="82">
        <f t="shared" si="10"/>
        <v>0</v>
      </c>
    </row>
    <row r="191" spans="33:35">
      <c r="AG191" s="107"/>
      <c r="AH191" s="82">
        <f t="shared" si="9"/>
        <v>0</v>
      </c>
      <c r="AI191" s="82">
        <f t="shared" si="10"/>
        <v>0</v>
      </c>
    </row>
    <row r="192" spans="33:35">
      <c r="AG192" s="107"/>
      <c r="AH192" s="82">
        <f t="shared" si="9"/>
        <v>0</v>
      </c>
      <c r="AI192" s="82">
        <f t="shared" si="10"/>
        <v>0</v>
      </c>
    </row>
    <row r="193" spans="33:35">
      <c r="AG193" s="107"/>
      <c r="AH193" s="82">
        <f t="shared" si="9"/>
        <v>0</v>
      </c>
      <c r="AI193" s="82">
        <f t="shared" si="10"/>
        <v>0</v>
      </c>
    </row>
    <row r="194" spans="33:35">
      <c r="AG194" s="107"/>
      <c r="AH194" s="82">
        <f t="shared" si="9"/>
        <v>0</v>
      </c>
      <c r="AI194" s="82">
        <f t="shared" si="10"/>
        <v>0</v>
      </c>
    </row>
    <row r="195" spans="33:35">
      <c r="AG195" s="107"/>
      <c r="AH195" s="82">
        <f t="shared" si="9"/>
        <v>0</v>
      </c>
      <c r="AI195" s="82">
        <f t="shared" si="10"/>
        <v>0</v>
      </c>
    </row>
    <row r="196" spans="33:35">
      <c r="AG196" s="107"/>
      <c r="AH196" s="82">
        <f t="shared" si="9"/>
        <v>0</v>
      </c>
      <c r="AI196" s="82">
        <f t="shared" si="10"/>
        <v>0</v>
      </c>
    </row>
    <row r="197" spans="33:35">
      <c r="AG197" s="107"/>
      <c r="AH197" s="82">
        <f t="shared" si="9"/>
        <v>0</v>
      </c>
      <c r="AI197" s="82">
        <f t="shared" si="10"/>
        <v>0</v>
      </c>
    </row>
    <row r="198" spans="33:35">
      <c r="AG198" s="107"/>
      <c r="AH198" s="82">
        <f t="shared" si="9"/>
        <v>0</v>
      </c>
      <c r="AI198" s="82">
        <f t="shared" si="10"/>
        <v>0</v>
      </c>
    </row>
    <row r="199" spans="33:35">
      <c r="AG199" s="107"/>
      <c r="AH199" s="82">
        <f t="shared" si="9"/>
        <v>0</v>
      </c>
      <c r="AI199" s="82">
        <f t="shared" si="10"/>
        <v>0</v>
      </c>
    </row>
    <row r="200" spans="33:35">
      <c r="AG200" s="107"/>
      <c r="AH200" s="82">
        <f t="shared" ref="AH200:AH239" si="11">IF(Y200=0,0,IF(Y200-Y199=1,AH199+$N200,AH199))</f>
        <v>0</v>
      </c>
      <c r="AI200" s="82">
        <f t="shared" ref="AI200:AI239" si="12">IF(AC200=0,0,IF(AC200-AC199=1,AI199-$N200,AI199))</f>
        <v>0</v>
      </c>
    </row>
    <row r="201" spans="33:35">
      <c r="AG201" s="107"/>
      <c r="AH201" s="82">
        <f t="shared" si="11"/>
        <v>0</v>
      </c>
      <c r="AI201" s="82">
        <f t="shared" si="12"/>
        <v>0</v>
      </c>
    </row>
    <row r="202" spans="33:35">
      <c r="AG202" s="107"/>
      <c r="AH202" s="82">
        <f t="shared" si="11"/>
        <v>0</v>
      </c>
      <c r="AI202" s="82">
        <f t="shared" si="12"/>
        <v>0</v>
      </c>
    </row>
    <row r="203" spans="33:35">
      <c r="AG203" s="107"/>
      <c r="AH203" s="82">
        <f t="shared" si="11"/>
        <v>0</v>
      </c>
      <c r="AI203" s="82">
        <f t="shared" si="12"/>
        <v>0</v>
      </c>
    </row>
    <row r="204" spans="33:35">
      <c r="AG204" s="107"/>
      <c r="AH204" s="82">
        <f t="shared" si="11"/>
        <v>0</v>
      </c>
      <c r="AI204" s="82">
        <f t="shared" si="12"/>
        <v>0</v>
      </c>
    </row>
    <row r="205" spans="33:35">
      <c r="AG205" s="107"/>
      <c r="AH205" s="82">
        <f t="shared" si="11"/>
        <v>0</v>
      </c>
      <c r="AI205" s="82">
        <f t="shared" si="12"/>
        <v>0</v>
      </c>
    </row>
    <row r="206" spans="33:35">
      <c r="AG206" s="107"/>
      <c r="AH206" s="82">
        <f t="shared" si="11"/>
        <v>0</v>
      </c>
      <c r="AI206" s="82">
        <f t="shared" si="12"/>
        <v>0</v>
      </c>
    </row>
    <row r="207" spans="33:35">
      <c r="AG207" s="107"/>
      <c r="AH207" s="82">
        <f t="shared" si="11"/>
        <v>0</v>
      </c>
      <c r="AI207" s="82">
        <f t="shared" si="12"/>
        <v>0</v>
      </c>
    </row>
    <row r="208" spans="33:35">
      <c r="AG208" s="107"/>
      <c r="AH208" s="82">
        <f t="shared" si="11"/>
        <v>0</v>
      </c>
      <c r="AI208" s="82">
        <f t="shared" si="12"/>
        <v>0</v>
      </c>
    </row>
    <row r="209" spans="33:35">
      <c r="AG209" s="107"/>
      <c r="AH209" s="82">
        <f t="shared" si="11"/>
        <v>0</v>
      </c>
      <c r="AI209" s="82">
        <f t="shared" si="12"/>
        <v>0</v>
      </c>
    </row>
    <row r="210" spans="33:35">
      <c r="AG210" s="107"/>
      <c r="AH210" s="82">
        <f t="shared" si="11"/>
        <v>0</v>
      </c>
      <c r="AI210" s="82">
        <f t="shared" si="12"/>
        <v>0</v>
      </c>
    </row>
    <row r="211" spans="33:35">
      <c r="AG211" s="107"/>
      <c r="AH211" s="82">
        <f t="shared" si="11"/>
        <v>0</v>
      </c>
      <c r="AI211" s="82">
        <f t="shared" si="12"/>
        <v>0</v>
      </c>
    </row>
    <row r="212" spans="33:35">
      <c r="AG212" s="107"/>
      <c r="AH212" s="82">
        <f t="shared" si="11"/>
        <v>0</v>
      </c>
      <c r="AI212" s="82">
        <f t="shared" si="12"/>
        <v>0</v>
      </c>
    </row>
    <row r="213" spans="33:35">
      <c r="AG213" s="107"/>
      <c r="AH213" s="82">
        <f t="shared" si="11"/>
        <v>0</v>
      </c>
      <c r="AI213" s="82">
        <f t="shared" si="12"/>
        <v>0</v>
      </c>
    </row>
    <row r="214" spans="33:35">
      <c r="AG214" s="107"/>
      <c r="AH214" s="82">
        <f t="shared" si="11"/>
        <v>0</v>
      </c>
      <c r="AI214" s="82">
        <f t="shared" si="12"/>
        <v>0</v>
      </c>
    </row>
    <row r="215" spans="33:35">
      <c r="AG215" s="107"/>
      <c r="AH215" s="82">
        <f t="shared" si="11"/>
        <v>0</v>
      </c>
      <c r="AI215" s="82">
        <f t="shared" si="12"/>
        <v>0</v>
      </c>
    </row>
    <row r="216" spans="33:35">
      <c r="AG216" s="107"/>
      <c r="AH216" s="82">
        <f t="shared" si="11"/>
        <v>0</v>
      </c>
      <c r="AI216" s="82">
        <f t="shared" si="12"/>
        <v>0</v>
      </c>
    </row>
    <row r="217" spans="33:35">
      <c r="AG217" s="107"/>
      <c r="AH217" s="82">
        <f t="shared" si="11"/>
        <v>0</v>
      </c>
      <c r="AI217" s="82">
        <f t="shared" si="12"/>
        <v>0</v>
      </c>
    </row>
    <row r="218" spans="33:35">
      <c r="AG218" s="107"/>
      <c r="AH218" s="82">
        <f t="shared" si="11"/>
        <v>0</v>
      </c>
      <c r="AI218" s="82">
        <f t="shared" si="12"/>
        <v>0</v>
      </c>
    </row>
    <row r="219" spans="33:35">
      <c r="AG219" s="107"/>
      <c r="AH219" s="82">
        <f t="shared" si="11"/>
        <v>0</v>
      </c>
      <c r="AI219" s="82">
        <f t="shared" si="12"/>
        <v>0</v>
      </c>
    </row>
    <row r="220" spans="33:35">
      <c r="AG220" s="107"/>
      <c r="AH220" s="82">
        <f t="shared" si="11"/>
        <v>0</v>
      </c>
      <c r="AI220" s="82">
        <f t="shared" si="12"/>
        <v>0</v>
      </c>
    </row>
    <row r="221" spans="33:35">
      <c r="AG221" s="107"/>
      <c r="AH221" s="82">
        <f t="shared" si="11"/>
        <v>0</v>
      </c>
      <c r="AI221" s="82">
        <f t="shared" si="12"/>
        <v>0</v>
      </c>
    </row>
    <row r="222" spans="33:35">
      <c r="AG222" s="107"/>
      <c r="AH222" s="82">
        <f t="shared" si="11"/>
        <v>0</v>
      </c>
      <c r="AI222" s="82">
        <f t="shared" si="12"/>
        <v>0</v>
      </c>
    </row>
    <row r="223" spans="33:35">
      <c r="AG223" s="107"/>
      <c r="AH223" s="82">
        <f t="shared" si="11"/>
        <v>0</v>
      </c>
      <c r="AI223" s="82">
        <f t="shared" si="12"/>
        <v>0</v>
      </c>
    </row>
    <row r="224" spans="33:35">
      <c r="AG224" s="107"/>
      <c r="AH224" s="82">
        <f t="shared" si="11"/>
        <v>0</v>
      </c>
      <c r="AI224" s="82">
        <f t="shared" si="12"/>
        <v>0</v>
      </c>
    </row>
    <row r="225" spans="33:35">
      <c r="AG225" s="107"/>
      <c r="AH225" s="82">
        <f t="shared" si="11"/>
        <v>0</v>
      </c>
      <c r="AI225" s="82">
        <f t="shared" si="12"/>
        <v>0</v>
      </c>
    </row>
    <row r="226" spans="33:35">
      <c r="AG226" s="107"/>
      <c r="AH226" s="82">
        <f t="shared" si="11"/>
        <v>0</v>
      </c>
      <c r="AI226" s="82">
        <f t="shared" si="12"/>
        <v>0</v>
      </c>
    </row>
    <row r="227" spans="33:35">
      <c r="AG227" s="107"/>
      <c r="AH227" s="82">
        <f t="shared" si="11"/>
        <v>0</v>
      </c>
      <c r="AI227" s="82">
        <f t="shared" si="12"/>
        <v>0</v>
      </c>
    </row>
    <row r="228" spans="33:35">
      <c r="AG228" s="107"/>
      <c r="AH228" s="82">
        <f t="shared" si="11"/>
        <v>0</v>
      </c>
      <c r="AI228" s="82">
        <f t="shared" si="12"/>
        <v>0</v>
      </c>
    </row>
    <row r="229" spans="33:35">
      <c r="AG229" s="107"/>
      <c r="AH229" s="82">
        <f t="shared" si="11"/>
        <v>0</v>
      </c>
      <c r="AI229" s="82">
        <f t="shared" si="12"/>
        <v>0</v>
      </c>
    </row>
    <row r="230" spans="33:35">
      <c r="AG230" s="107"/>
      <c r="AH230" s="82">
        <f t="shared" si="11"/>
        <v>0</v>
      </c>
      <c r="AI230" s="82">
        <f t="shared" si="12"/>
        <v>0</v>
      </c>
    </row>
    <row r="231" spans="33:35">
      <c r="AG231" s="107"/>
      <c r="AH231" s="82">
        <f t="shared" si="11"/>
        <v>0</v>
      </c>
      <c r="AI231" s="82">
        <f t="shared" si="12"/>
        <v>0</v>
      </c>
    </row>
    <row r="232" spans="33:35">
      <c r="AG232" s="107"/>
      <c r="AH232" s="82">
        <f t="shared" si="11"/>
        <v>0</v>
      </c>
      <c r="AI232" s="82">
        <f t="shared" si="12"/>
        <v>0</v>
      </c>
    </row>
    <row r="233" spans="33:35">
      <c r="AG233" s="107"/>
      <c r="AH233" s="82">
        <f t="shared" si="11"/>
        <v>0</v>
      </c>
      <c r="AI233" s="82">
        <f t="shared" si="12"/>
        <v>0</v>
      </c>
    </row>
    <row r="234" spans="33:35">
      <c r="AG234" s="107"/>
      <c r="AH234" s="82">
        <f t="shared" si="11"/>
        <v>0</v>
      </c>
      <c r="AI234" s="82">
        <f t="shared" si="12"/>
        <v>0</v>
      </c>
    </row>
    <row r="235" spans="33:35">
      <c r="AG235" s="107"/>
      <c r="AH235" s="82">
        <f t="shared" si="11"/>
        <v>0</v>
      </c>
      <c r="AI235" s="82">
        <f t="shared" si="12"/>
        <v>0</v>
      </c>
    </row>
    <row r="236" spans="33:35">
      <c r="AG236" s="107"/>
      <c r="AH236" s="82">
        <f t="shared" si="11"/>
        <v>0</v>
      </c>
      <c r="AI236" s="82">
        <f t="shared" si="12"/>
        <v>0</v>
      </c>
    </row>
    <row r="237" spans="33:35">
      <c r="AG237" s="107"/>
      <c r="AH237" s="82">
        <f t="shared" si="11"/>
        <v>0</v>
      </c>
      <c r="AI237" s="82">
        <f t="shared" si="12"/>
        <v>0</v>
      </c>
    </row>
    <row r="238" spans="33:35">
      <c r="AG238" s="107"/>
      <c r="AH238" s="82">
        <f t="shared" si="11"/>
        <v>0</v>
      </c>
      <c r="AI238" s="82">
        <f t="shared" si="12"/>
        <v>0</v>
      </c>
    </row>
    <row r="239" spans="33:35">
      <c r="AG239" s="107"/>
      <c r="AH239" s="82">
        <f t="shared" si="11"/>
        <v>0</v>
      </c>
      <c r="AI239" s="82">
        <f t="shared" si="12"/>
        <v>0</v>
      </c>
    </row>
  </sheetData>
  <phoneticPr fontId="2"/>
  <hyperlinks>
    <hyperlink ref="AR1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RSIday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koide</dc:creator>
  <cp:lastModifiedBy>内田悠都</cp:lastModifiedBy>
  <dcterms:created xsi:type="dcterms:W3CDTF">2006-09-16T00:00:00Z</dcterms:created>
  <dcterms:modified xsi:type="dcterms:W3CDTF">2023-11-25T10:58:16Z</dcterms:modified>
</cp:coreProperties>
</file>